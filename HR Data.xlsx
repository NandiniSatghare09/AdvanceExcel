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91930\Desktop\Data Analyst\DashBoard\"/>
    </mc:Choice>
  </mc:AlternateContent>
  <xr:revisionPtr revIDLastSave="0" documentId="13_ncr:1_{D4803641-78C4-4743-BE2A-6740B1997FC8}" xr6:coauthVersionLast="47" xr6:coauthVersionMax="47" xr10:uidLastSave="{00000000-0000-0000-0000-000000000000}"/>
  <bookViews>
    <workbookView xWindow="-108" yWindow="-108" windowWidth="23256" windowHeight="12456" firstSheet="2" activeTab="2" xr2:uid="{408BA6AB-5196-496B-9C80-B057CC378CDA}"/>
  </bookViews>
  <sheets>
    <sheet name="Sheet1" sheetId="1" r:id="rId1"/>
    <sheet name="Clean Data" sheetId="2" r:id="rId2"/>
    <sheet name="Dashboard" sheetId="3" r:id="rId3"/>
    <sheet name="Pivot Table" sheetId="4" r:id="rId4"/>
  </sheets>
  <definedNames>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4" l="1"/>
  <c r="E50" i="4"/>
  <c r="S49" i="4"/>
  <c r="F16" i="4"/>
  <c r="E16" i="4"/>
  <c r="E18" i="4"/>
  <c r="K51" i="4"/>
  <c r="G30" i="4"/>
  <c r="E21" i="4"/>
  <c r="F21" i="4"/>
  <c r="F17" i="4"/>
  <c r="F18" i="4"/>
  <c r="S51" i="4"/>
  <c r="F20" i="4"/>
  <c r="I29" i="4"/>
  <c r="E52" i="4"/>
  <c r="K53" i="4"/>
  <c r="E17" i="4"/>
  <c r="E53" i="4"/>
  <c r="K50" i="4"/>
  <c r="G31" i="4"/>
  <c r="G32" i="4"/>
  <c r="E19" i="4"/>
  <c r="E42" i="4"/>
  <c r="K48" i="4"/>
  <c r="G33" i="4"/>
  <c r="S50" i="4"/>
  <c r="S53" i="4"/>
  <c r="B11" i="4"/>
  <c r="B9" i="4"/>
  <c r="I28" i="4"/>
  <c r="G29" i="4"/>
  <c r="K49" i="4"/>
  <c r="E20" i="4"/>
  <c r="E49" i="4"/>
  <c r="K52" i="4"/>
  <c r="E41" i="4"/>
  <c r="E40" i="4"/>
  <c r="G28" i="4"/>
  <c r="B10" i="4"/>
  <c r="F19" i="4"/>
  <c r="S52" i="4"/>
  <c r="E51" i="4"/>
  <c r="F40" i="4" l="1"/>
  <c r="G40" i="4" s="1"/>
  <c r="F41" i="4"/>
  <c r="G41" i="4" s="1"/>
  <c r="J28" i="4"/>
  <c r="K28" i="4" s="1"/>
  <c r="F42" i="4"/>
  <c r="G42" i="4" s="1"/>
  <c r="J29" i="4"/>
  <c r="K29" i="4" s="1"/>
  <c r="S54" i="4"/>
</calcChain>
</file>

<file path=xl/sharedStrings.xml><?xml version="1.0" encoding="utf-8"?>
<sst xmlns="http://schemas.openxmlformats.org/spreadsheetml/2006/main" count="1644" uniqueCount="228">
  <si>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</si>
  <si>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</si>
  <si>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</si>
  <si>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</si>
  <si>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</si>
  <si>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</si>
  <si>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</si>
  <si>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</si>
  <si>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</si>
  <si>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</si>
  <si>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</si>
  <si>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</si>
  <si>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</si>
  <si>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</si>
  <si>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</si>
  <si>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</si>
  <si>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</si>
  <si>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</si>
  <si>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</si>
  <si>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</si>
  <si>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</si>
  <si>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</si>
  <si>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</si>
  <si>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</si>
  <si>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</si>
  <si>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</si>
  <si>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</si>
  <si>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</si>
  <si>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</si>
  <si>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</si>
  <si>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</si>
  <si>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</si>
  <si>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</si>
  <si>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</si>
  <si>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</si>
  <si>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</si>
  <si>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</si>
  <si>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</si>
  <si>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</si>
  <si>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</si>
  <si>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</si>
  <si>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</si>
  <si>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</si>
  <si>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</si>
  <si>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</si>
  <si>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</si>
  <si>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</si>
  <si>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</si>
  <si>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</si>
  <si>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</si>
  <si>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</si>
  <si>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</si>
  <si>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</si>
  <si>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</si>
  <si>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</si>
  <si>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</si>
  <si>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</si>
  <si>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</si>
  <si>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</si>
  <si>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</si>
  <si>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</si>
  <si>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</si>
  <si>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</si>
  <si>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</si>
  <si>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</si>
  <si>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</si>
  <si>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</si>
  <si>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</si>
  <si>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</si>
  <si>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</si>
  <si>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</si>
  <si>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</si>
  <si>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</si>
  <si>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</si>
  <si>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</si>
  <si>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</si>
  <si>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</si>
  <si>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</si>
  <si>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</si>
  <si>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</si>
  <si>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</si>
  <si>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</si>
  <si>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</si>
  <si>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</si>
  <si>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</si>
  <si>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</si>
  <si>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</si>
  <si>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</si>
  <si>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</si>
  <si>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</si>
  <si>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</si>
  <si>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</si>
  <si>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</si>
  <si>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</si>
  <si>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</si>
  <si>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</si>
  <si>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</si>
  <si>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</si>
  <si>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</si>
  <si>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</si>
  <si>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</si>
  <si>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</si>
  <si>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</si>
  <si>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</si>
  <si>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</si>
  <si>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</si>
  <si>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</si>
  <si>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</si>
  <si>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</si>
  <si>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</si>
  <si>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</si>
  <si>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</si>
  <si>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</si>
  <si>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</si>
  <si>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</si>
  <si>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</si>
  <si>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</si>
  <si>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</si>
  <si>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</si>
  <si>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</si>
  <si>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</si>
  <si>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</si>
  <si>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</si>
  <si>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</si>
  <si>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</si>
  <si>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</si>
  <si>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</si>
  <si>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</si>
  <si>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</si>
  <si>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</si>
  <si>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</si>
  <si>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</si>
  <si>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</si>
  <si>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</si>
  <si>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</si>
  <si>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</si>
  <si>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</si>
  <si>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</si>
  <si>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</si>
  <si>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</si>
  <si>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</si>
  <si>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</si>
  <si>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</si>
  <si>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</si>
  <si>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</si>
  <si>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</si>
  <si>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</si>
  <si>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</si>
  <si>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</si>
  <si>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</si>
  <si>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</si>
  <si>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</si>
  <si>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</si>
  <si>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</si>
  <si>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</si>
  <si>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</si>
  <si>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</si>
  <si>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</si>
  <si>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</si>
  <si>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</si>
  <si>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</si>
  <si>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</si>
  <si>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</si>
  <si>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</si>
  <si>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</si>
  <si>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</si>
  <si>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</si>
  <si>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</si>
  <si>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</si>
  <si>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</si>
  <si>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</si>
  <si>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</si>
  <si>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</si>
  <si>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</si>
  <si>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</si>
  <si>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</si>
  <si>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</si>
  <si>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</si>
  <si>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</si>
  <si>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</si>
  <si>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</si>
  <si>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</si>
  <si>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</si>
  <si>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</si>
  <si>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</si>
  <si>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</si>
  <si>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</si>
  <si>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</si>
  <si>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</si>
  <si>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</si>
  <si>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</si>
  <si>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</si>
  <si>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</si>
  <si>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</si>
  <si>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</si>
  <si>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</si>
  <si>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</si>
  <si>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</si>
  <si>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</si>
  <si>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</si>
  <si>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</si>
  <si>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</si>
  <si>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</si>
  <si>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</si>
  <si>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</si>
  <si>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</si>
  <si>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</si>
  <si>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</si>
  <si>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</si>
  <si>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</si>
  <si>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</si>
  <si>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</si>
  <si>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</si>
  <si>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</si>
  <si>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</si>
  <si>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</si>
  <si>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</si>
  <si>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 to employe status</t>
  </si>
  <si>
    <t>Total</t>
  </si>
  <si>
    <t>Sum of Salary</t>
  </si>
  <si>
    <t>total</t>
  </si>
  <si>
    <t>Saleries to Department</t>
  </si>
  <si>
    <t>Column Labels</t>
  </si>
  <si>
    <t xml:space="preserve">Age group to Gender </t>
  </si>
  <si>
    <t>Skill</t>
  </si>
  <si>
    <t>Sum of Leave Taken</t>
  </si>
  <si>
    <t>Regions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</si>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</sst>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b/>
      <sz val="11"/>
      <color theme="1"/>
      <name val="Aptos Narrow"/>
      <family val="2"/>
      <scheme val="minor"/>
    </font>
    <font>
      <sz val="11"/>
      <color theme="1"/>
      <name val="Arial Black"/>
      <family val="2"/>
    </font>
  </fonts>
  <fills count="5">
    <fill>
      <patternFill patternType="none"/>
    </fill>
    <fill>
      <patternFill patternType="gray125"/>
    </fill>
    <fill>
      <patternFill patternType="solid">
        <fgColor rgb="FF282828"/>
        <bgColor indexed="64"/>
      </patternFill>
    </fill>
    <fill>
      <patternFill patternType="solid">
        <fgColor theme="1" tint="0.14999847407452621"/>
        <bgColor indexed="64"/>
      </patternFill>
    </fill>
    <fill>
      <patternFill patternType="solid">
        <fgColor theme="2" tint="-0.89999084444715716"/>
        <bgColor indexed="64"/>
      </patternFill>
    </fill>
  </fills>
  <borders count="2">
    <border>
      <left/>
      <right/>
      <top/>
      <bottom/>
      <diagonal/>
    </border>
    <border>
      <left/>
      <right/>
      <top style="thin">
        <color theme="1" tint="0.499984740745262"/>
      </top>
      <bottom style="thin">
        <color theme="1" tint="0.499984740745262"/>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5" fillId="3" borderId="0" xfId="0" applyFont="1" applyFill="1"/>
    <xf numFmtId="0" fontId="0" fillId="0" borderId="0" xfId="0" pivotButton="1"/>
    <xf numFmtId="0" fontId="0" fillId="0" borderId="0" xfId="0" applyAlignment="1">
      <alignment horizontal="left"/>
    </xf>
    <xf numFmtId="9" fontId="4" fillId="0" borderId="0" xfId="0" applyNumberFormat="1" applyFont="1"/>
    <xf numFmtId="9" fontId="0" fillId="0" borderId="0" xfId="0" applyNumberFormat="1"/>
    <xf numFmtId="164" fontId="0" fillId="0" borderId="0" xfId="0" applyNumberFormat="1"/>
    <xf numFmtId="0" fontId="0" fillId="0" borderId="0" xfId="0" applyNumberFormat="1"/>
    <xf numFmtId="0" fontId="5" fillId="4" borderId="0" xfId="0" applyFont="1" applyFill="1"/>
  </cellXfs>
  <cellStyles count="1">
    <cellStyle name="Normal" xfId="0" builtinId="0"/>
  </cellStyles>
  <dxfs count="36">
    <dxf>
      <numFmt numFmtId="164" formatCode="0.0"/>
    </dxf>
    <dxf>
      <numFmt numFmtId="164" formatCode="0.0"/>
    </dxf>
    <dxf>
      <numFmt numFmtId="164" formatCode="0.0"/>
    </dxf>
    <dxf>
      <numFmt numFmtId="164" formatCode="0.0"/>
    </dxf>
    <dxf>
      <numFmt numFmtId="164" formatCode="0.0"/>
    </dxf>
    <dxf>
      <fill>
        <patternFill>
          <bgColor theme="5" tint="0.39994506668294322"/>
        </patternFill>
      </fill>
    </dxf>
    <dxf>
      <fill>
        <patternFill>
          <bgColor theme="1" tint="0.24994659260841701"/>
        </patternFill>
      </fill>
    </dxf>
    <dxf>
      <numFmt numFmtId="164" formatCode="0.0"/>
    </dxf>
    <dxf>
      <numFmt numFmtId="164" formatCode="0.0"/>
    </dxf>
    <dxf>
      <numFmt numFmtId="164" formatCode="0.0"/>
    </dxf>
    <dxf>
      <numFmt numFmtId="164" formatCode="0.0"/>
    </dxf>
    <dxf>
      <numFmt numFmtId="164" formatCode="0.0"/>
    </dxf>
    <dxf>
      <numFmt numFmtId="164" formatCode="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1" defaultTableStyle="TableStyleMedium2" defaultPivotStyle="PivotStyleLight16">
    <tableStyle name="Slicer Style 1" pivot="0" table="0" count="4" xr9:uid="{F44054CB-DBEA-4A17-97A7-7F40C554AFBE}">
      <tableStyleElement type="wholeTable" dxfId="6"/>
      <tableStyleElement type="headerRow" dxfId="5"/>
    </tableStyle>
  </tableStyles>
  <colors>
    <mruColors>
      <color rgb="FFFFD44B"/>
      <color rgb="FF797C44"/>
      <color rgb="FF000000"/>
      <color rgb="FF156082"/>
    </mruColors>
  </colors>
  <extLst>
    <ext xmlns:x14="http://schemas.microsoft.com/office/spreadsheetml/2009/9/main" uri="{46F421CA-312F-682f-3DD2-61675219B42D}">
      <x14:dxfs count="3">
        <dxf>
          <fill>
            <patternFill>
              <bgColor theme="2" tint="-0.89996032593768116"/>
            </patternFill>
          </fill>
        </dxf>
        <dxf>
          <fill>
            <patternFill>
              <bgColor theme="2" tint="-0.89996032593768116"/>
            </patternFill>
          </fill>
        </dxf>
        <dxf>
          <fill>
            <patternFill>
              <bgColor theme="2" tint="-0.89996032593768116"/>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0"/>
            <x14:slicerStyleElement type="hovered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2">
                  <a:lumMod val="40000"/>
                  <a:lumOff val="60000"/>
                </a:schemeClr>
              </a:solidFill>
              <a:ln w="19050">
                <a:solidFill>
                  <a:schemeClr val="tx1">
                    <a:lumMod val="85000"/>
                    <a:lumOff val="15000"/>
                  </a:schemeClr>
                </a:solidFill>
              </a:ln>
              <a:effectLst/>
            </c:spPr>
            <c:extLst>
              <c:ext xmlns:c16="http://schemas.microsoft.com/office/drawing/2014/chart" uri="{C3380CC4-5D6E-409C-BE32-E72D297353CC}">
                <c16:uniqueId val="{00000001-AE70-49BB-9A0B-53A1FBF28EE3}"/>
              </c:ext>
            </c:extLst>
          </c:dPt>
          <c:dPt>
            <c:idx val="1"/>
            <c:bubble3D val="0"/>
            <c:spPr>
              <a:solidFill>
                <a:schemeClr val="bg2">
                  <a:lumMod val="50000"/>
                </a:schemeClr>
              </a:solidFill>
              <a:ln w="19050">
                <a:solidFill>
                  <a:schemeClr val="tx1">
                    <a:lumMod val="85000"/>
                    <a:lumOff val="15000"/>
                  </a:schemeClr>
                </a:solidFill>
              </a:ln>
              <a:effectLst/>
            </c:spPr>
            <c:extLst>
              <c:ext xmlns:c16="http://schemas.microsoft.com/office/drawing/2014/chart" uri="{C3380CC4-5D6E-409C-BE32-E72D297353CC}">
                <c16:uniqueId val="{00000003-AE70-49BB-9A0B-53A1FBF28EE3}"/>
              </c:ext>
            </c:extLst>
          </c:dPt>
          <c:dPt>
            <c:idx val="2"/>
            <c:bubble3D val="0"/>
            <c:spPr>
              <a:solidFill>
                <a:schemeClr val="bg1"/>
              </a:solidFill>
              <a:ln w="19050">
                <a:solidFill>
                  <a:schemeClr val="tx1">
                    <a:lumMod val="85000"/>
                    <a:lumOff val="15000"/>
                  </a:schemeClr>
                </a:solidFill>
              </a:ln>
              <a:effectLst/>
            </c:spPr>
            <c:extLst>
              <c:ext xmlns:c16="http://schemas.microsoft.com/office/drawing/2014/chart" uri="{C3380CC4-5D6E-409C-BE32-E72D297353CC}">
                <c16:uniqueId val="{00000005-AE70-49BB-9A0B-53A1FBF28EE3}"/>
              </c:ext>
            </c:extLst>
          </c:dPt>
          <c:cat>
            <c:strRef>
              <c:f>'Pivot Table'!$A$9:$A$11</c:f>
              <c:strCache>
                <c:ptCount val="3"/>
                <c:pt idx="0">
                  <c:v>Contract</c:v>
                </c:pt>
                <c:pt idx="1">
                  <c:v>Full-Time</c:v>
                </c:pt>
                <c:pt idx="2">
                  <c:v>Part-Time</c:v>
                </c:pt>
              </c:strCache>
            </c:strRef>
          </c:cat>
          <c:val>
            <c:numRef>
              <c:f>'Pivot Table'!$B$9:$B$11</c:f>
              <c:numCache>
                <c:formatCode>General</c:formatCode>
                <c:ptCount val="3"/>
                <c:pt idx="0">
                  <c:v>17</c:v>
                </c:pt>
                <c:pt idx="1">
                  <c:v>20</c:v>
                </c:pt>
                <c:pt idx="2">
                  <c:v>13</c:v>
                </c:pt>
              </c:numCache>
            </c:numRef>
          </c:val>
          <c:extLst>
            <c:ext xmlns:c16="http://schemas.microsoft.com/office/drawing/2014/chart" uri="{C3380CC4-5D6E-409C-BE32-E72D297353CC}">
              <c16:uniqueId val="{00000006-AE70-49BB-9A0B-53A1FBF28EE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22222222222224E-2"/>
          <c:y val="8.4097859327217125E-2"/>
          <c:w val="0.90162037037037046"/>
          <c:h val="0.77738327433841414"/>
        </c:manualLayout>
      </c:layout>
      <c:barChart>
        <c:barDir val="col"/>
        <c:grouping val="clustered"/>
        <c:varyColors val="0"/>
        <c:ser>
          <c:idx val="0"/>
          <c:order val="0"/>
          <c:tx>
            <c:strRef>
              <c:f>'Pivot Table'!$B$26:$B$27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Table'!$A$28:$A$33</c:f>
              <c:strCache>
                <c:ptCount val="5"/>
                <c:pt idx="0">
                  <c:v>18-25</c:v>
                </c:pt>
                <c:pt idx="1">
                  <c:v>26-35</c:v>
                </c:pt>
                <c:pt idx="2">
                  <c:v>36-45</c:v>
                </c:pt>
                <c:pt idx="3">
                  <c:v>46-55</c:v>
                </c:pt>
                <c:pt idx="4">
                  <c:v>56 &lt;</c:v>
                </c:pt>
              </c:strCache>
            </c:strRef>
          </c:cat>
          <c:val>
            <c:numRef>
              <c:f>'Pivot Table'!$B$28:$B$33</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8C95-45A3-AA69-1B2D15BF6F36}"/>
            </c:ext>
          </c:extLst>
        </c:ser>
        <c:ser>
          <c:idx val="1"/>
          <c:order val="1"/>
          <c:tx>
            <c:strRef>
              <c:f>'Pivot Table'!$C$26:$C$27</c:f>
              <c:strCache>
                <c:ptCount val="1"/>
                <c:pt idx="0">
                  <c:v>Male</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Table'!$A$28:$A$33</c:f>
              <c:strCache>
                <c:ptCount val="5"/>
                <c:pt idx="0">
                  <c:v>18-25</c:v>
                </c:pt>
                <c:pt idx="1">
                  <c:v>26-35</c:v>
                </c:pt>
                <c:pt idx="2">
                  <c:v>36-45</c:v>
                </c:pt>
                <c:pt idx="3">
                  <c:v>46-55</c:v>
                </c:pt>
                <c:pt idx="4">
                  <c:v>56 &lt;</c:v>
                </c:pt>
              </c:strCache>
            </c:strRef>
          </c:cat>
          <c:val>
            <c:numRef>
              <c:f>'Pivot Table'!$C$28:$C$33</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68B2-43BB-ABFB-B5AE92B8B9AB}"/>
            </c:ext>
          </c:extLst>
        </c:ser>
        <c:dLbls>
          <c:dLblPos val="outEnd"/>
          <c:showLegendKey val="0"/>
          <c:showVal val="1"/>
          <c:showCatName val="0"/>
          <c:showSerName val="0"/>
          <c:showPercent val="0"/>
          <c:showBubbleSize val="0"/>
        </c:dLbls>
        <c:gapWidth val="219"/>
        <c:overlap val="-27"/>
        <c:axId val="1581906111"/>
        <c:axId val="1581905151"/>
      </c:barChart>
      <c:catAx>
        <c:axId val="158190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581905151"/>
        <c:crosses val="autoZero"/>
        <c:auto val="1"/>
        <c:lblAlgn val="ctr"/>
        <c:lblOffset val="100"/>
        <c:noMultiLvlLbl val="0"/>
      </c:catAx>
      <c:valAx>
        <c:axId val="1581905151"/>
        <c:scaling>
          <c:orientation val="minMax"/>
        </c:scaling>
        <c:delete val="1"/>
        <c:axPos val="l"/>
        <c:majorGridlines>
          <c:spPr>
            <a:ln w="9525" cap="flat" cmpd="sng" algn="ctr">
              <a:solidFill>
                <a:schemeClr val="tx1">
                  <a:lumMod val="15000"/>
                  <a:lumOff val="85000"/>
                </a:schemeClr>
              </a:solidFill>
              <a:prstDash val="sysDot"/>
              <a:round/>
            </a:ln>
            <a:effectLst/>
          </c:spPr>
        </c:majorGridlines>
        <c:numFmt formatCode="General" sourceLinked="1"/>
        <c:majorTickMark val="none"/>
        <c:minorTickMark val="none"/>
        <c:tickLblPos val="nextTo"/>
        <c:crossAx val="1581906111"/>
        <c:crosses val="autoZero"/>
        <c:crossBetween val="between"/>
      </c:valAx>
      <c:spPr>
        <a:noFill/>
        <a:ln>
          <a:solidFill>
            <a:schemeClr val="accent1">
              <a:shade val="15000"/>
            </a:schemeClr>
          </a:solidFill>
          <a:prstDash val="sysDash"/>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2">
                <a:lumMod val="40000"/>
                <a:lumOff val="60000"/>
              </a:schemeClr>
            </a:solidFill>
            <a:ln>
              <a:noFill/>
            </a:ln>
            <a:effectLst/>
          </c:spPr>
          <c:invertIfNegative val="0"/>
          <c:val>
            <c:numRef>
              <c:f>'Pivot Table'!$F$40</c:f>
              <c:numCache>
                <c:formatCode>0%</c:formatCode>
                <c:ptCount val="1"/>
                <c:pt idx="0">
                  <c:v>0.46</c:v>
                </c:pt>
              </c:numCache>
            </c:numRef>
          </c:val>
          <c:extLst>
            <c:ext xmlns:c16="http://schemas.microsoft.com/office/drawing/2014/chart" uri="{C3380CC4-5D6E-409C-BE32-E72D297353CC}">
              <c16:uniqueId val="{00000000-E651-4E8E-817E-DF77C7D823C7}"/>
            </c:ext>
          </c:extLst>
        </c:ser>
        <c:ser>
          <c:idx val="1"/>
          <c:order val="1"/>
          <c:spPr>
            <a:solidFill>
              <a:srgbClr val="000000"/>
            </a:solidFill>
            <a:ln>
              <a:noFill/>
            </a:ln>
            <a:effectLst/>
          </c:spPr>
          <c:invertIfNegative val="0"/>
          <c:val>
            <c:numRef>
              <c:f>'Pivot Table'!$G$40</c:f>
              <c:numCache>
                <c:formatCode>0%</c:formatCode>
                <c:ptCount val="1"/>
                <c:pt idx="0">
                  <c:v>0.54</c:v>
                </c:pt>
              </c:numCache>
            </c:numRef>
          </c:val>
          <c:extLst>
            <c:ext xmlns:c16="http://schemas.microsoft.com/office/drawing/2014/chart" uri="{C3380CC4-5D6E-409C-BE32-E72D297353CC}">
              <c16:uniqueId val="{00000001-E651-4E8E-817E-DF77C7D823C7}"/>
            </c:ext>
          </c:extLst>
        </c:ser>
        <c:dLbls>
          <c:showLegendKey val="0"/>
          <c:showVal val="0"/>
          <c:showCatName val="0"/>
          <c:showSerName val="0"/>
          <c:showPercent val="0"/>
          <c:showBubbleSize val="0"/>
        </c:dLbls>
        <c:gapWidth val="150"/>
        <c:overlap val="100"/>
        <c:axId val="1839023616"/>
        <c:axId val="1839030336"/>
      </c:barChart>
      <c:catAx>
        <c:axId val="1839023616"/>
        <c:scaling>
          <c:orientation val="minMax"/>
        </c:scaling>
        <c:delete val="1"/>
        <c:axPos val="l"/>
        <c:numFmt formatCode="General" sourceLinked="1"/>
        <c:majorTickMark val="none"/>
        <c:minorTickMark val="none"/>
        <c:tickLblPos val="nextTo"/>
        <c:crossAx val="1839030336"/>
        <c:crosses val="autoZero"/>
        <c:auto val="1"/>
        <c:lblAlgn val="ctr"/>
        <c:lblOffset val="100"/>
        <c:noMultiLvlLbl val="0"/>
      </c:catAx>
      <c:valAx>
        <c:axId val="1839030336"/>
        <c:scaling>
          <c:orientation val="minMax"/>
        </c:scaling>
        <c:delete val="1"/>
        <c:axPos val="b"/>
        <c:numFmt formatCode="0%" sourceLinked="1"/>
        <c:majorTickMark val="none"/>
        <c:minorTickMark val="none"/>
        <c:tickLblPos val="nextTo"/>
        <c:crossAx val="18390236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782096584216728E-2"/>
          <c:y val="0.3000159071025213"/>
          <c:w val="0.91692913385826769"/>
          <c:h val="0.57560645828362367"/>
        </c:manualLayout>
      </c:layout>
      <c:barChart>
        <c:barDir val="bar"/>
        <c:grouping val="stacked"/>
        <c:varyColors val="0"/>
        <c:ser>
          <c:idx val="0"/>
          <c:order val="0"/>
          <c:spPr>
            <a:solidFill>
              <a:schemeClr val="accent2">
                <a:lumMod val="40000"/>
                <a:lumOff val="60000"/>
              </a:schemeClr>
            </a:solidFill>
            <a:ln>
              <a:noFill/>
            </a:ln>
            <a:effectLst/>
          </c:spPr>
          <c:invertIfNegative val="0"/>
          <c:val>
            <c:numRef>
              <c:f>'Pivot Table'!$F$41</c:f>
              <c:numCache>
                <c:formatCode>0%</c:formatCode>
                <c:ptCount val="1"/>
                <c:pt idx="0">
                  <c:v>0.16</c:v>
                </c:pt>
              </c:numCache>
            </c:numRef>
          </c:val>
          <c:extLst>
            <c:ext xmlns:c16="http://schemas.microsoft.com/office/drawing/2014/chart" uri="{C3380CC4-5D6E-409C-BE32-E72D297353CC}">
              <c16:uniqueId val="{00000000-72FC-4F39-B9D3-C0EE9BEC7A99}"/>
            </c:ext>
          </c:extLst>
        </c:ser>
        <c:ser>
          <c:idx val="1"/>
          <c:order val="1"/>
          <c:spPr>
            <a:solidFill>
              <a:srgbClr val="000000"/>
            </a:solidFill>
            <a:ln>
              <a:noFill/>
            </a:ln>
            <a:effectLst/>
          </c:spPr>
          <c:invertIfNegative val="0"/>
          <c:val>
            <c:numRef>
              <c:f>'Pivot Table'!$G$41</c:f>
              <c:numCache>
                <c:formatCode>0%</c:formatCode>
                <c:ptCount val="1"/>
                <c:pt idx="0">
                  <c:v>0.84</c:v>
                </c:pt>
              </c:numCache>
            </c:numRef>
          </c:val>
          <c:extLst>
            <c:ext xmlns:c16="http://schemas.microsoft.com/office/drawing/2014/chart" uri="{C3380CC4-5D6E-409C-BE32-E72D297353CC}">
              <c16:uniqueId val="{00000001-72FC-4F39-B9D3-C0EE9BEC7A99}"/>
            </c:ext>
          </c:extLst>
        </c:ser>
        <c:dLbls>
          <c:showLegendKey val="0"/>
          <c:showVal val="0"/>
          <c:showCatName val="0"/>
          <c:showSerName val="0"/>
          <c:showPercent val="0"/>
          <c:showBubbleSize val="0"/>
        </c:dLbls>
        <c:gapWidth val="170"/>
        <c:overlap val="100"/>
        <c:axId val="1839026016"/>
        <c:axId val="1839034656"/>
      </c:barChart>
      <c:catAx>
        <c:axId val="1839026016"/>
        <c:scaling>
          <c:orientation val="minMax"/>
        </c:scaling>
        <c:delete val="1"/>
        <c:axPos val="l"/>
        <c:numFmt formatCode="General" sourceLinked="1"/>
        <c:majorTickMark val="none"/>
        <c:minorTickMark val="none"/>
        <c:tickLblPos val="nextTo"/>
        <c:crossAx val="1839034656"/>
        <c:crosses val="autoZero"/>
        <c:auto val="1"/>
        <c:lblAlgn val="ctr"/>
        <c:lblOffset val="100"/>
        <c:noMultiLvlLbl val="0"/>
      </c:catAx>
      <c:valAx>
        <c:axId val="1839034656"/>
        <c:scaling>
          <c:orientation val="minMax"/>
        </c:scaling>
        <c:delete val="1"/>
        <c:axPos val="b"/>
        <c:numFmt formatCode="0%" sourceLinked="1"/>
        <c:majorTickMark val="none"/>
        <c:minorTickMark val="none"/>
        <c:tickLblPos val="nextTo"/>
        <c:crossAx val="18390260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258407851008818E-2"/>
          <c:y val="0.21884698623198415"/>
          <c:w val="0.91151413964615879"/>
          <c:h val="0.63736703964635999"/>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604B-41C7-815C-CFAE3231A984}"/>
              </c:ext>
            </c:extLst>
          </c:dPt>
          <c:val>
            <c:numRef>
              <c:f>'Pivot Table'!$F$42</c:f>
              <c:numCache>
                <c:formatCode>0%</c:formatCode>
                <c:ptCount val="1"/>
                <c:pt idx="0">
                  <c:v>0.38</c:v>
                </c:pt>
              </c:numCache>
            </c:numRef>
          </c:val>
          <c:extLst>
            <c:ext xmlns:c16="http://schemas.microsoft.com/office/drawing/2014/chart" uri="{C3380CC4-5D6E-409C-BE32-E72D297353CC}">
              <c16:uniqueId val="{00000000-604B-41C7-815C-CFAE3231A984}"/>
            </c:ext>
          </c:extLst>
        </c:ser>
        <c:ser>
          <c:idx val="1"/>
          <c:order val="1"/>
          <c:spPr>
            <a:solidFill>
              <a:srgbClr val="000000"/>
            </a:solidFill>
            <a:ln>
              <a:noFill/>
            </a:ln>
            <a:effectLst/>
          </c:spPr>
          <c:invertIfNegative val="0"/>
          <c:val>
            <c:numRef>
              <c:f>'Pivot Table'!$G$42</c:f>
              <c:numCache>
                <c:formatCode>0%</c:formatCode>
                <c:ptCount val="1"/>
                <c:pt idx="0">
                  <c:v>0.62</c:v>
                </c:pt>
              </c:numCache>
            </c:numRef>
          </c:val>
          <c:extLst>
            <c:ext xmlns:c16="http://schemas.microsoft.com/office/drawing/2014/chart" uri="{C3380CC4-5D6E-409C-BE32-E72D297353CC}">
              <c16:uniqueId val="{00000001-604B-41C7-815C-CFAE3231A984}"/>
            </c:ext>
          </c:extLst>
        </c:ser>
        <c:dLbls>
          <c:showLegendKey val="0"/>
          <c:showVal val="0"/>
          <c:showCatName val="0"/>
          <c:showSerName val="0"/>
          <c:showPercent val="0"/>
          <c:showBubbleSize val="0"/>
        </c:dLbls>
        <c:gapWidth val="150"/>
        <c:overlap val="100"/>
        <c:axId val="1592136368"/>
        <c:axId val="1592141168"/>
      </c:barChart>
      <c:catAx>
        <c:axId val="1592136368"/>
        <c:scaling>
          <c:orientation val="minMax"/>
        </c:scaling>
        <c:delete val="1"/>
        <c:axPos val="l"/>
        <c:majorTickMark val="none"/>
        <c:minorTickMark val="none"/>
        <c:tickLblPos val="nextTo"/>
        <c:crossAx val="1592141168"/>
        <c:crosses val="autoZero"/>
        <c:auto val="1"/>
        <c:lblAlgn val="ctr"/>
        <c:lblOffset val="100"/>
        <c:noMultiLvlLbl val="0"/>
      </c:catAx>
      <c:valAx>
        <c:axId val="1592141168"/>
        <c:scaling>
          <c:orientation val="minMax"/>
        </c:scaling>
        <c:delete val="1"/>
        <c:axPos val="b"/>
        <c:numFmt formatCode="0%" sourceLinked="1"/>
        <c:majorTickMark val="none"/>
        <c:minorTickMark val="none"/>
        <c:tickLblPos val="nextTo"/>
        <c:crossAx val="15921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1C00-421F-92C9-4860D9796AF2}"/>
              </c:ext>
            </c:extLst>
          </c:dPt>
          <c:dPt>
            <c:idx val="1"/>
            <c:bubble3D val="0"/>
            <c:spPr>
              <a:solidFill>
                <a:srgbClr val="000000"/>
              </a:solidFill>
              <a:ln w="19050">
                <a:noFill/>
              </a:ln>
              <a:effectLst/>
            </c:spPr>
            <c:extLst>
              <c:ext xmlns:c16="http://schemas.microsoft.com/office/drawing/2014/chart" uri="{C3380CC4-5D6E-409C-BE32-E72D297353CC}">
                <c16:uniqueId val="{00000003-1C00-421F-92C9-4860D9796AF2}"/>
              </c:ext>
            </c:extLst>
          </c:dPt>
          <c:val>
            <c:numRef>
              <c:f>'Pivot Table'!$J$29:$K$29</c:f>
              <c:numCache>
                <c:formatCode>0%</c:formatCode>
                <c:ptCount val="2"/>
                <c:pt idx="0">
                  <c:v>0.48</c:v>
                </c:pt>
                <c:pt idx="1">
                  <c:v>0.52</c:v>
                </c:pt>
              </c:numCache>
            </c:numRef>
          </c:val>
          <c:extLst>
            <c:ext xmlns:c16="http://schemas.microsoft.com/office/drawing/2014/chart" uri="{C3380CC4-5D6E-409C-BE32-E72D297353CC}">
              <c16:uniqueId val="{00000004-1C00-421F-92C9-4860D9796AF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dPt>
            <c:idx val="0"/>
            <c:bubble3D val="0"/>
            <c:spPr>
              <a:solidFill>
                <a:schemeClr val="bg1"/>
              </a:solidFill>
              <a:ln>
                <a:noFill/>
              </a:ln>
            </c:spPr>
            <c:extLst>
              <c:ext xmlns:c16="http://schemas.microsoft.com/office/drawing/2014/chart" uri="{C3380CC4-5D6E-409C-BE32-E72D297353CC}">
                <c16:uniqueId val="{0000000C-E93E-4E29-88FB-8E390D6C623F}"/>
              </c:ext>
            </c:extLst>
          </c:dPt>
          <c:dPt>
            <c:idx val="1"/>
            <c:bubble3D val="0"/>
            <c:spPr>
              <a:solidFill>
                <a:srgbClr val="000000"/>
              </a:solidFill>
              <a:ln>
                <a:noFill/>
              </a:ln>
            </c:spPr>
            <c:extLst>
              <c:ext xmlns:c16="http://schemas.microsoft.com/office/drawing/2014/chart" uri="{C3380CC4-5D6E-409C-BE32-E72D297353CC}">
                <c16:uniqueId val="{0000000D-E93E-4E29-88FB-8E390D6C623F}"/>
              </c:ext>
            </c:extLst>
          </c:dPt>
          <c:val>
            <c:numRef>
              <c:f>'Pivot Table'!$J$28:$K$28</c:f>
              <c:numCache>
                <c:formatCode>0%</c:formatCode>
                <c:ptCount val="2"/>
                <c:pt idx="0">
                  <c:v>0.52</c:v>
                </c:pt>
                <c:pt idx="1">
                  <c:v>0.48</c:v>
                </c:pt>
              </c:numCache>
            </c:numRef>
          </c:val>
          <c:extLst>
            <c:ext xmlns:c16="http://schemas.microsoft.com/office/drawing/2014/chart" uri="{C3380CC4-5D6E-409C-BE32-E72D297353CC}">
              <c16:uniqueId val="{0000000B-E93E-4E29-88FB-8E390D6C623F}"/>
            </c:ext>
          </c:extLst>
        </c:ser>
        <c:ser>
          <c:idx val="0"/>
          <c:order val="1"/>
          <c:dPt>
            <c:idx val="0"/>
            <c:bubble3D val="0"/>
            <c:spPr>
              <a:solidFill>
                <a:schemeClr val="bg1"/>
              </a:solidFill>
              <a:ln w="19050">
                <a:noFill/>
              </a:ln>
              <a:effectLst/>
            </c:spPr>
            <c:extLst>
              <c:ext xmlns:c16="http://schemas.microsoft.com/office/drawing/2014/chart" uri="{C3380CC4-5D6E-409C-BE32-E72D297353CC}">
                <c16:uniqueId val="{00000007-E93E-4E29-88FB-8E390D6C623F}"/>
              </c:ext>
            </c:extLst>
          </c:dPt>
          <c:dPt>
            <c:idx val="1"/>
            <c:bubble3D val="0"/>
            <c:spPr>
              <a:solidFill>
                <a:srgbClr val="000000"/>
              </a:solidFill>
              <a:ln w="19050">
                <a:noFill/>
              </a:ln>
              <a:effectLst/>
            </c:spPr>
            <c:extLst>
              <c:ext xmlns:c16="http://schemas.microsoft.com/office/drawing/2014/chart" uri="{C3380CC4-5D6E-409C-BE32-E72D297353CC}">
                <c16:uniqueId val="{00000009-E93E-4E29-88FB-8E390D6C623F}"/>
              </c:ext>
            </c:extLst>
          </c:dPt>
          <c:val>
            <c:numRef>
              <c:f>'Pivot Table'!$J$28:$K$28</c:f>
              <c:numCache>
                <c:formatCode>0%</c:formatCode>
                <c:ptCount val="2"/>
                <c:pt idx="0">
                  <c:v>0.52</c:v>
                </c:pt>
                <c:pt idx="1">
                  <c:v>0.48</c:v>
                </c:pt>
              </c:numCache>
            </c:numRef>
          </c:val>
          <c:extLst>
            <c:ext xmlns:c16="http://schemas.microsoft.com/office/drawing/2014/chart" uri="{C3380CC4-5D6E-409C-BE32-E72D297353CC}">
              <c16:uniqueId val="{0000000A-E93E-4E29-88FB-8E390D6C623F}"/>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656132510463219E-2"/>
          <c:y val="0.15581338317558791"/>
          <c:w val="0.96441281138790036"/>
          <c:h val="0.81208398950131233"/>
        </c:manualLayout>
      </c:layout>
      <c:barChart>
        <c:barDir val="col"/>
        <c:grouping val="clustered"/>
        <c:varyColors val="0"/>
        <c:ser>
          <c:idx val="0"/>
          <c:order val="0"/>
          <c:tx>
            <c:strRef>
              <c:f>'Pivot Table'!$D$16</c:f>
              <c:strCache>
                <c:ptCount val="1"/>
                <c:pt idx="0">
                  <c:v>Analyst</c:v>
                </c:pt>
              </c:strCache>
            </c:strRef>
          </c:tx>
          <c:spPr>
            <a:solidFill>
              <a:srgbClr val="797C44"/>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6-B64C-4606-B0DA-AC014634ED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Table'!$F$16</c:f>
              <c:numCache>
                <c:formatCode>General</c:formatCode>
                <c:ptCount val="1"/>
                <c:pt idx="0">
                  <c:v>28</c:v>
                </c:pt>
              </c:numCache>
            </c:numRef>
          </c:val>
          <c:extLst>
            <c:ext xmlns:c16="http://schemas.microsoft.com/office/drawing/2014/chart" uri="{C3380CC4-5D6E-409C-BE32-E72D297353CC}">
              <c16:uniqueId val="{00000000-B64C-4606-B0DA-AC014634ED1C}"/>
            </c:ext>
          </c:extLst>
        </c:ser>
        <c:ser>
          <c:idx val="1"/>
          <c:order val="1"/>
          <c:tx>
            <c:strRef>
              <c:f>'Pivot Table'!$D$17</c:f>
              <c:strCache>
                <c:ptCount val="1"/>
                <c:pt idx="0">
                  <c:v>Designer</c:v>
                </c:pt>
              </c:strCache>
            </c:strRef>
          </c:tx>
          <c:spPr>
            <a:solidFill>
              <a:schemeClr val="accent2"/>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5-B64C-4606-B0DA-AC014634ED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Table'!$F$17</c:f>
              <c:numCache>
                <c:formatCode>General</c:formatCode>
                <c:ptCount val="1"/>
                <c:pt idx="0">
                  <c:v>110</c:v>
                </c:pt>
              </c:numCache>
            </c:numRef>
          </c:val>
          <c:extLst>
            <c:ext xmlns:c16="http://schemas.microsoft.com/office/drawing/2014/chart" uri="{C3380CC4-5D6E-409C-BE32-E72D297353CC}">
              <c16:uniqueId val="{00000001-B64C-4606-B0DA-AC014634ED1C}"/>
            </c:ext>
          </c:extLst>
        </c:ser>
        <c:ser>
          <c:idx val="2"/>
          <c:order val="2"/>
          <c:tx>
            <c:strRef>
              <c:f>'Pivot Table'!$D$18</c:f>
              <c:strCache>
                <c:ptCount val="1"/>
                <c:pt idx="0">
                  <c:v>Developer</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Table'!$F$18</c:f>
              <c:numCache>
                <c:formatCode>General</c:formatCode>
                <c:ptCount val="1"/>
                <c:pt idx="0">
                  <c:v>104</c:v>
                </c:pt>
              </c:numCache>
            </c:numRef>
          </c:val>
          <c:extLst>
            <c:ext xmlns:c16="http://schemas.microsoft.com/office/drawing/2014/chart" uri="{C3380CC4-5D6E-409C-BE32-E72D297353CC}">
              <c16:uniqueId val="{00000002-B64C-4606-B0DA-AC014634ED1C}"/>
            </c:ext>
          </c:extLst>
        </c:ser>
        <c:ser>
          <c:idx val="3"/>
          <c:order val="3"/>
          <c:tx>
            <c:strRef>
              <c:f>'Pivot Table'!$D$19</c:f>
              <c:strCache>
                <c:ptCount val="1"/>
                <c:pt idx="0">
                  <c:v>HR Specialist</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Table'!$F$19</c:f>
              <c:numCache>
                <c:formatCode>General</c:formatCode>
                <c:ptCount val="1"/>
                <c:pt idx="0">
                  <c:v>123</c:v>
                </c:pt>
              </c:numCache>
            </c:numRef>
          </c:val>
          <c:extLst>
            <c:ext xmlns:c16="http://schemas.microsoft.com/office/drawing/2014/chart" uri="{C3380CC4-5D6E-409C-BE32-E72D297353CC}">
              <c16:uniqueId val="{00000003-B64C-4606-B0DA-AC014634ED1C}"/>
            </c:ext>
          </c:extLst>
        </c:ser>
        <c:ser>
          <c:idx val="4"/>
          <c:order val="4"/>
          <c:tx>
            <c:strRef>
              <c:f>'Pivot Table'!$D$20</c:f>
              <c:strCache>
                <c:ptCount val="1"/>
                <c:pt idx="0">
                  <c:v>Manager</c:v>
                </c:pt>
              </c:strCache>
            </c:strRef>
          </c:tx>
          <c:spPr>
            <a:solidFill>
              <a:srgbClr val="FFC000"/>
            </a:solidFill>
            <a:ln>
              <a:noFill/>
            </a:ln>
            <a:effectLst/>
          </c:spPr>
          <c:invertIfNegative val="0"/>
          <c:dPt>
            <c:idx val="0"/>
            <c:invertIfNegative val="0"/>
            <c:bubble3D val="0"/>
            <c:spPr>
              <a:solidFill>
                <a:srgbClr val="FFD44B"/>
              </a:solidFill>
              <a:ln>
                <a:noFill/>
              </a:ln>
              <a:effectLst/>
            </c:spPr>
            <c:extLst>
              <c:ext xmlns:c16="http://schemas.microsoft.com/office/drawing/2014/chart" uri="{C3380CC4-5D6E-409C-BE32-E72D297353CC}">
                <c16:uniqueId val="{00000007-B64C-4606-B0DA-AC014634ED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Table'!$F$20</c:f>
              <c:numCache>
                <c:formatCode>General</c:formatCode>
                <c:ptCount val="1"/>
                <c:pt idx="0">
                  <c:v>122</c:v>
                </c:pt>
              </c:numCache>
            </c:numRef>
          </c:val>
          <c:extLst>
            <c:ext xmlns:c16="http://schemas.microsoft.com/office/drawing/2014/chart" uri="{C3380CC4-5D6E-409C-BE32-E72D297353CC}">
              <c16:uniqueId val="{00000004-B64C-4606-B0DA-AC014634ED1C}"/>
            </c:ext>
          </c:extLst>
        </c:ser>
        <c:dLbls>
          <c:dLblPos val="outEnd"/>
          <c:showLegendKey val="0"/>
          <c:showVal val="1"/>
          <c:showCatName val="0"/>
          <c:showSerName val="0"/>
          <c:showPercent val="0"/>
          <c:showBubbleSize val="0"/>
        </c:dLbls>
        <c:gapWidth val="219"/>
        <c:overlap val="-27"/>
        <c:axId val="745695567"/>
        <c:axId val="745690287"/>
      </c:barChart>
      <c:catAx>
        <c:axId val="745695567"/>
        <c:scaling>
          <c:orientation val="minMax"/>
        </c:scaling>
        <c:delete val="1"/>
        <c:axPos val="b"/>
        <c:numFmt formatCode="General" sourceLinked="1"/>
        <c:majorTickMark val="none"/>
        <c:minorTickMark val="none"/>
        <c:tickLblPos val="nextTo"/>
        <c:crossAx val="745690287"/>
        <c:crosses val="autoZero"/>
        <c:auto val="1"/>
        <c:lblAlgn val="ctr"/>
        <c:lblOffset val="100"/>
        <c:noMultiLvlLbl val="0"/>
      </c:catAx>
      <c:valAx>
        <c:axId val="745690287"/>
        <c:scaling>
          <c:orientation val="minMax"/>
        </c:scaling>
        <c:delete val="1"/>
        <c:axPos val="l"/>
        <c:majorGridlines>
          <c:spPr>
            <a:ln w="9525" cap="flat" cmpd="sng" algn="ctr">
              <a:solidFill>
                <a:schemeClr val="tx1">
                  <a:lumMod val="15000"/>
                  <a:lumOff val="85000"/>
                  <a:alpha val="38000"/>
                </a:schemeClr>
              </a:solidFill>
              <a:prstDash val="sysDash"/>
              <a:round/>
            </a:ln>
            <a:effectLst/>
          </c:spPr>
        </c:majorGridlines>
        <c:numFmt formatCode="General" sourceLinked="1"/>
        <c:majorTickMark val="none"/>
        <c:minorTickMark val="none"/>
        <c:tickLblPos val="nextTo"/>
        <c:crossAx val="7456955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Table'!$J$48:$J$52</c:f>
              <c:strCache>
                <c:ptCount val="5"/>
                <c:pt idx="0">
                  <c:v>Central</c:v>
                </c:pt>
                <c:pt idx="1">
                  <c:v>East</c:v>
                </c:pt>
                <c:pt idx="2">
                  <c:v>North</c:v>
                </c:pt>
                <c:pt idx="3">
                  <c:v>South</c:v>
                </c:pt>
                <c:pt idx="4">
                  <c:v>West</c:v>
                </c:pt>
              </c:strCache>
            </c:strRef>
          </c:cat>
          <c:val>
            <c:numRef>
              <c:f>'Pivot Table'!$K$48:$K$52</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2C34-4AE8-B7DE-96B2B6E60AA0}"/>
            </c:ext>
          </c:extLst>
        </c:ser>
        <c:dLbls>
          <c:showLegendKey val="0"/>
          <c:showVal val="0"/>
          <c:showCatName val="0"/>
          <c:showSerName val="0"/>
          <c:showPercent val="0"/>
          <c:showBubbleSize val="0"/>
        </c:dLbls>
        <c:gapWidth val="22"/>
        <c:axId val="900694975"/>
        <c:axId val="900695935"/>
      </c:barChart>
      <c:catAx>
        <c:axId val="90069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695935"/>
        <c:crosses val="autoZero"/>
        <c:auto val="1"/>
        <c:lblAlgn val="ctr"/>
        <c:lblOffset val="100"/>
        <c:noMultiLvlLbl val="0"/>
      </c:catAx>
      <c:valAx>
        <c:axId val="900695935"/>
        <c:scaling>
          <c:orientation val="minMax"/>
        </c:scaling>
        <c:delete val="1"/>
        <c:axPos val="b"/>
        <c:numFmt formatCode="General" sourceLinked="1"/>
        <c:majorTickMark val="none"/>
        <c:minorTickMark val="none"/>
        <c:tickLblPos val="nextTo"/>
        <c:crossAx val="90069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03-43CC-9751-D5F1C5005C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03-43CC-9751-D5F1C5005C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03-43CC-9751-D5F1C5005C01}"/>
              </c:ext>
            </c:extLst>
          </c:dPt>
          <c:cat>
            <c:strRef>
              <c:f>'Pivot Table'!$A$9:$A$11</c:f>
              <c:strCache>
                <c:ptCount val="3"/>
                <c:pt idx="0">
                  <c:v>Contract</c:v>
                </c:pt>
                <c:pt idx="1">
                  <c:v>Full-Time</c:v>
                </c:pt>
                <c:pt idx="2">
                  <c:v>Part-Time</c:v>
                </c:pt>
              </c:strCache>
            </c:strRef>
          </c:cat>
          <c:val>
            <c:numRef>
              <c:f>'Pivot Table'!$B$9:$B$11</c:f>
              <c:numCache>
                <c:formatCode>General</c:formatCode>
                <c:ptCount val="3"/>
                <c:pt idx="0">
                  <c:v>17</c:v>
                </c:pt>
                <c:pt idx="1">
                  <c:v>20</c:v>
                </c:pt>
                <c:pt idx="2">
                  <c:v>13</c:v>
                </c:pt>
              </c:numCache>
            </c:numRef>
          </c:val>
          <c:extLst>
            <c:ext xmlns:c16="http://schemas.microsoft.com/office/drawing/2014/chart" uri="{C3380CC4-5D6E-409C-BE32-E72D297353CC}">
              <c16:uniqueId val="{00000000-7562-42D0-840A-3852D430D8F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Table'!$B$26:$B$27</c:f>
              <c:strCache>
                <c:ptCount val="1"/>
                <c:pt idx="0">
                  <c:v>Female</c:v>
                </c:pt>
              </c:strCache>
            </c:strRef>
          </c:tx>
          <c:spPr>
            <a:solidFill>
              <a:schemeClr val="accent1"/>
            </a:solidFill>
            <a:ln>
              <a:noFill/>
            </a:ln>
            <a:effectLst/>
          </c:spPr>
          <c:invertIfNegative val="0"/>
          <c:cat>
            <c:strRef>
              <c:f>'Pivot Table'!$A$28:$A$33</c:f>
              <c:strCache>
                <c:ptCount val="5"/>
                <c:pt idx="0">
                  <c:v>18-25</c:v>
                </c:pt>
                <c:pt idx="1">
                  <c:v>26-35</c:v>
                </c:pt>
                <c:pt idx="2">
                  <c:v>36-45</c:v>
                </c:pt>
                <c:pt idx="3">
                  <c:v>46-55</c:v>
                </c:pt>
                <c:pt idx="4">
                  <c:v>56 &lt;</c:v>
                </c:pt>
              </c:strCache>
            </c:strRef>
          </c:cat>
          <c:val>
            <c:numRef>
              <c:f>'Pivot Table'!$B$28:$B$33</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FF1E-47C3-ABB5-A0FA8B8E49E6}"/>
            </c:ext>
          </c:extLst>
        </c:ser>
        <c:ser>
          <c:idx val="1"/>
          <c:order val="1"/>
          <c:tx>
            <c:strRef>
              <c:f>'Pivot Table'!$C$26:$C$27</c:f>
              <c:strCache>
                <c:ptCount val="1"/>
                <c:pt idx="0">
                  <c:v>Male</c:v>
                </c:pt>
              </c:strCache>
            </c:strRef>
          </c:tx>
          <c:spPr>
            <a:solidFill>
              <a:schemeClr val="accent2"/>
            </a:solidFill>
            <a:ln>
              <a:noFill/>
            </a:ln>
            <a:effectLst/>
          </c:spPr>
          <c:invertIfNegative val="0"/>
          <c:cat>
            <c:strRef>
              <c:f>'Pivot Table'!$A$28:$A$33</c:f>
              <c:strCache>
                <c:ptCount val="5"/>
                <c:pt idx="0">
                  <c:v>18-25</c:v>
                </c:pt>
                <c:pt idx="1">
                  <c:v>26-35</c:v>
                </c:pt>
                <c:pt idx="2">
                  <c:v>36-45</c:v>
                </c:pt>
                <c:pt idx="3">
                  <c:v>46-55</c:v>
                </c:pt>
                <c:pt idx="4">
                  <c:v>56 &lt;</c:v>
                </c:pt>
              </c:strCache>
            </c:strRef>
          </c:cat>
          <c:val>
            <c:numRef>
              <c:f>'Pivot Table'!$C$28:$C$33</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0-FC4D-4D68-83AD-507EBC6FFEE3}"/>
            </c:ext>
          </c:extLst>
        </c:ser>
        <c:dLbls>
          <c:showLegendKey val="0"/>
          <c:showVal val="0"/>
          <c:showCatName val="0"/>
          <c:showSerName val="0"/>
          <c:showPercent val="0"/>
          <c:showBubbleSize val="0"/>
        </c:dLbls>
        <c:gapWidth val="219"/>
        <c:overlap val="-27"/>
        <c:axId val="1581906111"/>
        <c:axId val="1581905151"/>
      </c:barChart>
      <c:catAx>
        <c:axId val="158190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05151"/>
        <c:crosses val="autoZero"/>
        <c:auto val="1"/>
        <c:lblAlgn val="ctr"/>
        <c:lblOffset val="100"/>
        <c:noMultiLvlLbl val="0"/>
      </c:catAx>
      <c:valAx>
        <c:axId val="158190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0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spPr>
            <a:solidFill>
              <a:schemeClr val="accent1"/>
            </a:solidFill>
            <a:ln>
              <a:noFill/>
            </a:ln>
            <a:effectLst/>
          </c:spPr>
          <c:invertIfNegative val="0"/>
          <c:val>
            <c:numRef>
              <c:f>'Pivot Table'!$F$40</c:f>
              <c:numCache>
                <c:formatCode>0%</c:formatCode>
                <c:ptCount val="1"/>
                <c:pt idx="0">
                  <c:v>0.46</c:v>
                </c:pt>
              </c:numCache>
            </c:numRef>
          </c:val>
          <c:extLst>
            <c:ext xmlns:c16="http://schemas.microsoft.com/office/drawing/2014/chart" uri="{C3380CC4-5D6E-409C-BE32-E72D297353CC}">
              <c16:uniqueId val="{00000000-45D3-466B-8B08-5C545B619C97}"/>
            </c:ext>
          </c:extLst>
        </c:ser>
        <c:ser>
          <c:idx val="1"/>
          <c:order val="1"/>
          <c:spPr>
            <a:solidFill>
              <a:schemeClr val="accent2"/>
            </a:solidFill>
            <a:ln>
              <a:noFill/>
            </a:ln>
            <a:effectLst/>
          </c:spPr>
          <c:invertIfNegative val="0"/>
          <c:val>
            <c:numRef>
              <c:f>'Pivot Table'!$G$40</c:f>
              <c:numCache>
                <c:formatCode>0%</c:formatCode>
                <c:ptCount val="1"/>
                <c:pt idx="0">
                  <c:v>0.54</c:v>
                </c:pt>
              </c:numCache>
            </c:numRef>
          </c:val>
          <c:extLst>
            <c:ext xmlns:c16="http://schemas.microsoft.com/office/drawing/2014/chart" uri="{C3380CC4-5D6E-409C-BE32-E72D297353CC}">
              <c16:uniqueId val="{00000001-45D3-466B-8B08-5C545B619C97}"/>
            </c:ext>
          </c:extLst>
        </c:ser>
        <c:dLbls>
          <c:showLegendKey val="0"/>
          <c:showVal val="0"/>
          <c:showCatName val="0"/>
          <c:showSerName val="0"/>
          <c:showPercent val="0"/>
          <c:showBubbleSize val="0"/>
        </c:dLbls>
        <c:gapWidth val="150"/>
        <c:overlap val="100"/>
        <c:axId val="1839023616"/>
        <c:axId val="1839030336"/>
      </c:barChart>
      <c:catAx>
        <c:axId val="183902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030336"/>
        <c:crosses val="autoZero"/>
        <c:auto val="1"/>
        <c:lblAlgn val="ctr"/>
        <c:lblOffset val="100"/>
        <c:noMultiLvlLbl val="0"/>
      </c:catAx>
      <c:valAx>
        <c:axId val="18390303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02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accent1"/>
            </a:solidFill>
            <a:ln>
              <a:noFill/>
            </a:ln>
            <a:effectLst/>
          </c:spPr>
          <c:invertIfNegative val="0"/>
          <c:val>
            <c:numRef>
              <c:f>'Pivot Table'!$F$41</c:f>
              <c:numCache>
                <c:formatCode>0%</c:formatCode>
                <c:ptCount val="1"/>
                <c:pt idx="0">
                  <c:v>0.16</c:v>
                </c:pt>
              </c:numCache>
            </c:numRef>
          </c:val>
          <c:extLst>
            <c:ext xmlns:c16="http://schemas.microsoft.com/office/drawing/2014/chart" uri="{C3380CC4-5D6E-409C-BE32-E72D297353CC}">
              <c16:uniqueId val="{00000000-7384-4E1A-A76F-3F3149FF3E42}"/>
            </c:ext>
          </c:extLst>
        </c:ser>
        <c:ser>
          <c:idx val="1"/>
          <c:order val="1"/>
          <c:spPr>
            <a:solidFill>
              <a:schemeClr val="accent2"/>
            </a:solidFill>
            <a:ln>
              <a:noFill/>
            </a:ln>
            <a:effectLst/>
          </c:spPr>
          <c:invertIfNegative val="0"/>
          <c:val>
            <c:numRef>
              <c:f>'Pivot Table'!$G$41</c:f>
              <c:numCache>
                <c:formatCode>0%</c:formatCode>
                <c:ptCount val="1"/>
                <c:pt idx="0">
                  <c:v>0.84</c:v>
                </c:pt>
              </c:numCache>
            </c:numRef>
          </c:val>
          <c:extLst>
            <c:ext xmlns:c16="http://schemas.microsoft.com/office/drawing/2014/chart" uri="{C3380CC4-5D6E-409C-BE32-E72D297353CC}">
              <c16:uniqueId val="{00000001-7384-4E1A-A76F-3F3149FF3E42}"/>
            </c:ext>
          </c:extLst>
        </c:ser>
        <c:dLbls>
          <c:showLegendKey val="0"/>
          <c:showVal val="0"/>
          <c:showCatName val="0"/>
          <c:showSerName val="0"/>
          <c:showPercent val="0"/>
          <c:showBubbleSize val="0"/>
        </c:dLbls>
        <c:gapWidth val="150"/>
        <c:overlap val="100"/>
        <c:axId val="1839026016"/>
        <c:axId val="1839034656"/>
      </c:barChart>
      <c:catAx>
        <c:axId val="183902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034656"/>
        <c:crosses val="autoZero"/>
        <c:auto val="1"/>
        <c:lblAlgn val="ctr"/>
        <c:lblOffset val="100"/>
        <c:noMultiLvlLbl val="0"/>
      </c:catAx>
      <c:valAx>
        <c:axId val="18390346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026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accent1"/>
            </a:solidFill>
            <a:ln>
              <a:noFill/>
            </a:ln>
            <a:effectLst/>
          </c:spPr>
          <c:invertIfNegative val="0"/>
          <c:val>
            <c:numRef>
              <c:f>'Pivot Table'!$F$42</c:f>
              <c:numCache>
                <c:formatCode>0%</c:formatCode>
                <c:ptCount val="1"/>
                <c:pt idx="0">
                  <c:v>0.38</c:v>
                </c:pt>
              </c:numCache>
            </c:numRef>
          </c:val>
          <c:extLst>
            <c:ext xmlns:c16="http://schemas.microsoft.com/office/drawing/2014/chart" uri="{C3380CC4-5D6E-409C-BE32-E72D297353CC}">
              <c16:uniqueId val="{00000000-2B7C-41E4-BA2C-3D8362285A0C}"/>
            </c:ext>
          </c:extLst>
        </c:ser>
        <c:ser>
          <c:idx val="1"/>
          <c:order val="1"/>
          <c:spPr>
            <a:solidFill>
              <a:schemeClr val="accent2"/>
            </a:solidFill>
            <a:ln>
              <a:noFill/>
            </a:ln>
            <a:effectLst/>
          </c:spPr>
          <c:invertIfNegative val="0"/>
          <c:val>
            <c:numRef>
              <c:f>'Pivot Table'!$G$42</c:f>
              <c:numCache>
                <c:formatCode>0%</c:formatCode>
                <c:ptCount val="1"/>
                <c:pt idx="0">
                  <c:v>0.62</c:v>
                </c:pt>
              </c:numCache>
            </c:numRef>
          </c:val>
          <c:extLst>
            <c:ext xmlns:c16="http://schemas.microsoft.com/office/drawing/2014/chart" uri="{C3380CC4-5D6E-409C-BE32-E72D297353CC}">
              <c16:uniqueId val="{00000001-2B7C-41E4-BA2C-3D8362285A0C}"/>
            </c:ext>
          </c:extLst>
        </c:ser>
        <c:dLbls>
          <c:showLegendKey val="0"/>
          <c:showVal val="0"/>
          <c:showCatName val="0"/>
          <c:showSerName val="0"/>
          <c:showPercent val="0"/>
          <c:showBubbleSize val="0"/>
        </c:dLbls>
        <c:gapWidth val="150"/>
        <c:overlap val="100"/>
        <c:axId val="1592136368"/>
        <c:axId val="1592141168"/>
      </c:barChart>
      <c:catAx>
        <c:axId val="159213636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141168"/>
        <c:crosses val="autoZero"/>
        <c:auto val="1"/>
        <c:lblAlgn val="ctr"/>
        <c:lblOffset val="100"/>
        <c:noMultiLvlLbl val="0"/>
      </c:catAx>
      <c:valAx>
        <c:axId val="15921411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1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80-469E-B445-DA4C958EA2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80-469E-B445-DA4C958EA245}"/>
              </c:ext>
            </c:extLst>
          </c:dPt>
          <c:val>
            <c:numRef>
              <c:f>'Pivot Table'!$J$29:$K$29</c:f>
              <c:numCache>
                <c:formatCode>0%</c:formatCode>
                <c:ptCount val="2"/>
                <c:pt idx="0">
                  <c:v>0.48</c:v>
                </c:pt>
                <c:pt idx="1">
                  <c:v>0.52</c:v>
                </c:pt>
              </c:numCache>
            </c:numRef>
          </c:val>
          <c:extLst>
            <c:ext xmlns:c16="http://schemas.microsoft.com/office/drawing/2014/chart" uri="{C3380CC4-5D6E-409C-BE32-E72D297353CC}">
              <c16:uniqueId val="{00000000-C015-4D76-8DD6-14E7ECD4AB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5A-4CA0-9F6C-2CC9220381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5A-4CA0-9F6C-2CC922038145}"/>
              </c:ext>
            </c:extLst>
          </c:dPt>
          <c:val>
            <c:numRef>
              <c:f>'Pivot Table'!$J$28:$K$28</c:f>
              <c:numCache>
                <c:formatCode>0%</c:formatCode>
                <c:ptCount val="2"/>
                <c:pt idx="0">
                  <c:v>0.52</c:v>
                </c:pt>
                <c:pt idx="1">
                  <c:v>0.48</c:v>
                </c:pt>
              </c:numCache>
            </c:numRef>
          </c:val>
          <c:extLst>
            <c:ext xmlns:c16="http://schemas.microsoft.com/office/drawing/2014/chart" uri="{C3380CC4-5D6E-409C-BE32-E72D297353CC}">
              <c16:uniqueId val="{00000000-EC95-464F-BC8D-66DE469F859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Table'!$D$16</c:f>
              <c:strCache>
                <c:ptCount val="1"/>
                <c:pt idx="0">
                  <c:v>Analyst</c:v>
                </c:pt>
              </c:strCache>
            </c:strRef>
          </c:tx>
          <c:spPr>
            <a:solidFill>
              <a:schemeClr val="accent1"/>
            </a:solidFill>
            <a:ln>
              <a:noFill/>
            </a:ln>
            <a:effectLst/>
          </c:spPr>
          <c:invertIfNegative val="0"/>
          <c:val>
            <c:numRef>
              <c:f>'Pivot Table'!$F$16</c:f>
              <c:numCache>
                <c:formatCode>General</c:formatCode>
                <c:ptCount val="1"/>
                <c:pt idx="0">
                  <c:v>28</c:v>
                </c:pt>
              </c:numCache>
            </c:numRef>
          </c:val>
          <c:extLst>
            <c:ext xmlns:c16="http://schemas.microsoft.com/office/drawing/2014/chart" uri="{C3380CC4-5D6E-409C-BE32-E72D297353CC}">
              <c16:uniqueId val="{00000000-0DF3-4D5A-83EC-70D2003539EB}"/>
            </c:ext>
          </c:extLst>
        </c:ser>
        <c:ser>
          <c:idx val="1"/>
          <c:order val="1"/>
          <c:tx>
            <c:strRef>
              <c:f>'Pivot Table'!$D$17</c:f>
              <c:strCache>
                <c:ptCount val="1"/>
                <c:pt idx="0">
                  <c:v>Designer</c:v>
                </c:pt>
              </c:strCache>
            </c:strRef>
          </c:tx>
          <c:spPr>
            <a:solidFill>
              <a:schemeClr val="accent2"/>
            </a:solidFill>
            <a:ln>
              <a:noFill/>
            </a:ln>
            <a:effectLst/>
          </c:spPr>
          <c:invertIfNegative val="0"/>
          <c:val>
            <c:numRef>
              <c:f>'Pivot Table'!$F$17</c:f>
              <c:numCache>
                <c:formatCode>General</c:formatCode>
                <c:ptCount val="1"/>
                <c:pt idx="0">
                  <c:v>110</c:v>
                </c:pt>
              </c:numCache>
            </c:numRef>
          </c:val>
          <c:extLst>
            <c:ext xmlns:c16="http://schemas.microsoft.com/office/drawing/2014/chart" uri="{C3380CC4-5D6E-409C-BE32-E72D297353CC}">
              <c16:uniqueId val="{00000001-0DF3-4D5A-83EC-70D2003539EB}"/>
            </c:ext>
          </c:extLst>
        </c:ser>
        <c:ser>
          <c:idx val="2"/>
          <c:order val="2"/>
          <c:tx>
            <c:strRef>
              <c:f>'Pivot Table'!$D$18</c:f>
              <c:strCache>
                <c:ptCount val="1"/>
                <c:pt idx="0">
                  <c:v>Developer</c:v>
                </c:pt>
              </c:strCache>
            </c:strRef>
          </c:tx>
          <c:spPr>
            <a:solidFill>
              <a:schemeClr val="accent3"/>
            </a:solidFill>
            <a:ln>
              <a:noFill/>
            </a:ln>
            <a:effectLst/>
          </c:spPr>
          <c:invertIfNegative val="0"/>
          <c:val>
            <c:numRef>
              <c:f>'Pivot Table'!$F$18</c:f>
              <c:numCache>
                <c:formatCode>General</c:formatCode>
                <c:ptCount val="1"/>
                <c:pt idx="0">
                  <c:v>104</c:v>
                </c:pt>
              </c:numCache>
            </c:numRef>
          </c:val>
          <c:extLst>
            <c:ext xmlns:c16="http://schemas.microsoft.com/office/drawing/2014/chart" uri="{C3380CC4-5D6E-409C-BE32-E72D297353CC}">
              <c16:uniqueId val="{00000002-0DF3-4D5A-83EC-70D2003539EB}"/>
            </c:ext>
          </c:extLst>
        </c:ser>
        <c:ser>
          <c:idx val="3"/>
          <c:order val="3"/>
          <c:tx>
            <c:strRef>
              <c:f>'Pivot Table'!$D$19</c:f>
              <c:strCache>
                <c:ptCount val="1"/>
                <c:pt idx="0">
                  <c:v>HR Specialist</c:v>
                </c:pt>
              </c:strCache>
            </c:strRef>
          </c:tx>
          <c:spPr>
            <a:solidFill>
              <a:schemeClr val="accent4"/>
            </a:solidFill>
            <a:ln>
              <a:noFill/>
            </a:ln>
            <a:effectLst/>
          </c:spPr>
          <c:invertIfNegative val="0"/>
          <c:val>
            <c:numRef>
              <c:f>'Pivot Table'!$F$19</c:f>
              <c:numCache>
                <c:formatCode>General</c:formatCode>
                <c:ptCount val="1"/>
                <c:pt idx="0">
                  <c:v>123</c:v>
                </c:pt>
              </c:numCache>
            </c:numRef>
          </c:val>
          <c:extLst>
            <c:ext xmlns:c16="http://schemas.microsoft.com/office/drawing/2014/chart" uri="{C3380CC4-5D6E-409C-BE32-E72D297353CC}">
              <c16:uniqueId val="{00000003-0DF3-4D5A-83EC-70D2003539EB}"/>
            </c:ext>
          </c:extLst>
        </c:ser>
        <c:ser>
          <c:idx val="4"/>
          <c:order val="4"/>
          <c:tx>
            <c:strRef>
              <c:f>'Pivot Table'!$D$20</c:f>
              <c:strCache>
                <c:ptCount val="1"/>
                <c:pt idx="0">
                  <c:v>Manager</c:v>
                </c:pt>
              </c:strCache>
            </c:strRef>
          </c:tx>
          <c:spPr>
            <a:solidFill>
              <a:schemeClr val="accent5"/>
            </a:solidFill>
            <a:ln>
              <a:noFill/>
            </a:ln>
            <a:effectLst/>
          </c:spPr>
          <c:invertIfNegative val="0"/>
          <c:val>
            <c:numRef>
              <c:f>'Pivot Table'!$F$20</c:f>
              <c:numCache>
                <c:formatCode>General</c:formatCode>
                <c:ptCount val="1"/>
                <c:pt idx="0">
                  <c:v>122</c:v>
                </c:pt>
              </c:numCache>
            </c:numRef>
          </c:val>
          <c:extLst>
            <c:ext xmlns:c16="http://schemas.microsoft.com/office/drawing/2014/chart" uri="{C3380CC4-5D6E-409C-BE32-E72D297353CC}">
              <c16:uniqueId val="{00000004-0DF3-4D5A-83EC-70D2003539EB}"/>
            </c:ext>
          </c:extLst>
        </c:ser>
        <c:dLbls>
          <c:showLegendKey val="0"/>
          <c:showVal val="0"/>
          <c:showCatName val="0"/>
          <c:showSerName val="0"/>
          <c:showPercent val="0"/>
          <c:showBubbleSize val="0"/>
        </c:dLbls>
        <c:gapWidth val="219"/>
        <c:overlap val="-27"/>
        <c:axId val="745695567"/>
        <c:axId val="745690287"/>
      </c:barChart>
      <c:catAx>
        <c:axId val="74569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690287"/>
        <c:crosses val="autoZero"/>
        <c:auto val="1"/>
        <c:lblAlgn val="ctr"/>
        <c:lblOffset val="100"/>
        <c:noMultiLvlLbl val="0"/>
      </c:catAx>
      <c:valAx>
        <c:axId val="74569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695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'Pivot Table'!$J$48:$J$52</c:f>
              <c:strCache>
                <c:ptCount val="5"/>
                <c:pt idx="0">
                  <c:v>Central</c:v>
                </c:pt>
                <c:pt idx="1">
                  <c:v>East</c:v>
                </c:pt>
                <c:pt idx="2">
                  <c:v>North</c:v>
                </c:pt>
                <c:pt idx="3">
                  <c:v>South</c:v>
                </c:pt>
                <c:pt idx="4">
                  <c:v>West</c:v>
                </c:pt>
              </c:strCache>
            </c:strRef>
          </c:cat>
          <c:val>
            <c:numRef>
              <c:f>'Pivot Table'!$K$48:$K$52</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6F0A-4702-8918-5ACF2D3888D8}"/>
            </c:ext>
          </c:extLst>
        </c:ser>
        <c:dLbls>
          <c:showLegendKey val="0"/>
          <c:showVal val="0"/>
          <c:showCatName val="0"/>
          <c:showSerName val="0"/>
          <c:showPercent val="0"/>
          <c:showBubbleSize val="0"/>
        </c:dLbls>
        <c:gapWidth val="182"/>
        <c:axId val="900694975"/>
        <c:axId val="900695935"/>
      </c:barChart>
      <c:catAx>
        <c:axId val="90069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695935"/>
        <c:crosses val="autoZero"/>
        <c:auto val="1"/>
        <c:lblAlgn val="ctr"/>
        <c:lblOffset val="100"/>
        <c:noMultiLvlLbl val="0"/>
      </c:catAx>
      <c:valAx>
        <c:axId val="90069593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0069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chart" Target="../charts/chart8.xml"/><Relationship Id="rId18" Type="http://schemas.openxmlformats.org/officeDocument/2006/relationships/image" Target="../media/image9.svg"/><Relationship Id="rId3" Type="http://schemas.openxmlformats.org/officeDocument/2006/relationships/image" Target="../media/image1.png"/><Relationship Id="rId7" Type="http://schemas.openxmlformats.org/officeDocument/2006/relationships/image" Target="../media/image2.png"/><Relationship Id="rId12" Type="http://schemas.openxmlformats.org/officeDocument/2006/relationships/chart" Target="../charts/chart7.xml"/><Relationship Id="rId17" Type="http://schemas.openxmlformats.org/officeDocument/2006/relationships/image" Target="../media/image8.png"/><Relationship Id="rId2" Type="http://schemas.openxmlformats.org/officeDocument/2006/relationships/chart" Target="../charts/chart2.xml"/><Relationship Id="rId16" Type="http://schemas.openxmlformats.org/officeDocument/2006/relationships/image" Target="../media/image7.svg"/><Relationship Id="rId20"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6.xml"/><Relationship Id="rId5" Type="http://schemas.openxmlformats.org/officeDocument/2006/relationships/chart" Target="../charts/chart4.xml"/><Relationship Id="rId15" Type="http://schemas.openxmlformats.org/officeDocument/2006/relationships/image" Target="../media/image6.png"/><Relationship Id="rId10" Type="http://schemas.openxmlformats.org/officeDocument/2006/relationships/image" Target="../media/image5.svg"/><Relationship Id="rId19" Type="http://schemas.openxmlformats.org/officeDocument/2006/relationships/image" Target="../media/image10.png"/><Relationship Id="rId4" Type="http://schemas.openxmlformats.org/officeDocument/2006/relationships/chart" Target="../charts/chart3.xml"/><Relationship Id="rId9" Type="http://schemas.openxmlformats.org/officeDocument/2006/relationships/image" Target="../media/image4.png"/><Relationship Id="rId1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45720</xdr:colOff>
      <xdr:row>0</xdr:row>
      <xdr:rowOff>30480</xdr:rowOff>
    </xdr:from>
    <xdr:to>
      <xdr:col>17</xdr:col>
      <xdr:colOff>381000</xdr:colOff>
      <xdr:row>31</xdr:row>
      <xdr:rowOff>167640</xdr:rowOff>
    </xdr:to>
    <xdr:sp macro="" textlink="">
      <xdr:nvSpPr>
        <xdr:cNvPr id="2" name="Rectangle: Rounded Corners 1">
          <a:extLst>
            <a:ext uri="{FF2B5EF4-FFF2-40B4-BE49-F238E27FC236}">
              <a16:creationId xmlns:a16="http://schemas.microsoft.com/office/drawing/2014/main" id="{A1D2490C-3909-4626-DEE5-000F8ABE9437}"/>
            </a:ext>
          </a:extLst>
        </xdr:cNvPr>
        <xdr:cNvSpPr/>
      </xdr:nvSpPr>
      <xdr:spPr>
        <a:xfrm>
          <a:off x="45720" y="30480"/>
          <a:ext cx="10088880" cy="6987540"/>
        </a:xfrm>
        <a:prstGeom prst="roundRect">
          <a:avLst>
            <a:gd name="adj" fmla="val 0"/>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76200</xdr:colOff>
      <xdr:row>22</xdr:row>
      <xdr:rowOff>129540</xdr:rowOff>
    </xdr:from>
    <xdr:to>
      <xdr:col>4</xdr:col>
      <xdr:colOff>155400</xdr:colOff>
      <xdr:row>31</xdr:row>
      <xdr:rowOff>120720</xdr:rowOff>
    </xdr:to>
    <xdr:sp macro="" textlink="">
      <xdr:nvSpPr>
        <xdr:cNvPr id="3" name="Rectangle: Rounded Corners 2">
          <a:extLst>
            <a:ext uri="{FF2B5EF4-FFF2-40B4-BE49-F238E27FC236}">
              <a16:creationId xmlns:a16="http://schemas.microsoft.com/office/drawing/2014/main" id="{6CE9D7A5-77E7-F33A-0D1D-D4412DCD2D74}"/>
            </a:ext>
          </a:extLst>
        </xdr:cNvPr>
        <xdr:cNvSpPr/>
      </xdr:nvSpPr>
      <xdr:spPr>
        <a:xfrm>
          <a:off x="76200" y="4991100"/>
          <a:ext cx="1908000" cy="1980000"/>
        </a:xfrm>
        <a:prstGeom prst="roundRect">
          <a:avLst>
            <a:gd name="adj" fmla="val 8376"/>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514120</xdr:colOff>
      <xdr:row>0</xdr:row>
      <xdr:rowOff>121921</xdr:rowOff>
    </xdr:from>
    <xdr:to>
      <xdr:col>17</xdr:col>
      <xdr:colOff>373380</xdr:colOff>
      <xdr:row>31</xdr:row>
      <xdr:rowOff>201977</xdr:rowOff>
    </xdr:to>
    <xdr:sp macro="" textlink="">
      <xdr:nvSpPr>
        <xdr:cNvPr id="4" name="Rectangle: Rounded Corners 3">
          <a:extLst>
            <a:ext uri="{FF2B5EF4-FFF2-40B4-BE49-F238E27FC236}">
              <a16:creationId xmlns:a16="http://schemas.microsoft.com/office/drawing/2014/main" id="{5E37AA6B-62F4-FB22-22C2-81360B28E1CB}"/>
            </a:ext>
          </a:extLst>
        </xdr:cNvPr>
        <xdr:cNvSpPr/>
      </xdr:nvSpPr>
      <xdr:spPr>
        <a:xfrm>
          <a:off x="514120" y="121921"/>
          <a:ext cx="10160031" cy="6910514"/>
        </a:xfrm>
        <a:prstGeom prst="roundRect">
          <a:avLst>
            <a:gd name="adj" fmla="val 0"/>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163830</xdr:colOff>
      <xdr:row>22</xdr:row>
      <xdr:rowOff>17880</xdr:rowOff>
    </xdr:from>
    <xdr:to>
      <xdr:col>4</xdr:col>
      <xdr:colOff>243030</xdr:colOff>
      <xdr:row>31</xdr:row>
      <xdr:rowOff>9060</xdr:rowOff>
    </xdr:to>
    <xdr:sp macro="" textlink="">
      <xdr:nvSpPr>
        <xdr:cNvPr id="5" name="Rectangle: Rounded Corners 4">
          <a:extLst>
            <a:ext uri="{FF2B5EF4-FFF2-40B4-BE49-F238E27FC236}">
              <a16:creationId xmlns:a16="http://schemas.microsoft.com/office/drawing/2014/main" id="{B3A20FED-39E8-E7C9-AB14-BC2BAC598FD3}"/>
            </a:ext>
          </a:extLst>
        </xdr:cNvPr>
        <xdr:cNvSpPr/>
      </xdr:nvSpPr>
      <xdr:spPr>
        <a:xfrm>
          <a:off x="163830" y="4879440"/>
          <a:ext cx="1908000" cy="19800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434340</xdr:colOff>
      <xdr:row>0</xdr:row>
      <xdr:rowOff>0</xdr:rowOff>
    </xdr:from>
    <xdr:to>
      <xdr:col>17</xdr:col>
      <xdr:colOff>350520</xdr:colOff>
      <xdr:row>31</xdr:row>
      <xdr:rowOff>190500</xdr:rowOff>
    </xdr:to>
    <xdr:sp macro="" textlink="">
      <xdr:nvSpPr>
        <xdr:cNvPr id="6" name="Rectangle: Rounded Corners 5">
          <a:extLst>
            <a:ext uri="{FF2B5EF4-FFF2-40B4-BE49-F238E27FC236}">
              <a16:creationId xmlns:a16="http://schemas.microsoft.com/office/drawing/2014/main" id="{98FA4133-12BF-EDB9-E47F-1D459605A7D7}"/>
            </a:ext>
          </a:extLst>
        </xdr:cNvPr>
        <xdr:cNvSpPr/>
      </xdr:nvSpPr>
      <xdr:spPr>
        <a:xfrm>
          <a:off x="2263140" y="0"/>
          <a:ext cx="7840980" cy="7040880"/>
        </a:xfrm>
        <a:prstGeom prst="roundRect">
          <a:avLst>
            <a:gd name="adj" fmla="val 0"/>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358140</xdr:colOff>
      <xdr:row>20</xdr:row>
      <xdr:rowOff>99840</xdr:rowOff>
    </xdr:from>
    <xdr:to>
      <xdr:col>8</xdr:col>
      <xdr:colOff>259740</xdr:colOff>
      <xdr:row>31</xdr:row>
      <xdr:rowOff>9060</xdr:rowOff>
    </xdr:to>
    <xdr:sp macro="" textlink="">
      <xdr:nvSpPr>
        <xdr:cNvPr id="7" name="Rectangle: Rounded Corners 6">
          <a:extLst>
            <a:ext uri="{FF2B5EF4-FFF2-40B4-BE49-F238E27FC236}">
              <a16:creationId xmlns:a16="http://schemas.microsoft.com/office/drawing/2014/main" id="{99857B70-77BD-FB6C-4A2B-23925078C14A}"/>
            </a:ext>
          </a:extLst>
        </xdr:cNvPr>
        <xdr:cNvSpPr/>
      </xdr:nvSpPr>
      <xdr:spPr>
        <a:xfrm>
          <a:off x="2186940" y="4519440"/>
          <a:ext cx="2340000" cy="23400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163830</xdr:colOff>
      <xdr:row>8</xdr:row>
      <xdr:rowOff>60960</xdr:rowOff>
    </xdr:from>
    <xdr:to>
      <xdr:col>4</xdr:col>
      <xdr:colOff>243030</xdr:colOff>
      <xdr:row>21</xdr:row>
      <xdr:rowOff>152400</xdr:rowOff>
    </xdr:to>
    <xdr:sp macro="" textlink="">
      <xdr:nvSpPr>
        <xdr:cNvPr id="8" name="Rectangle: Rounded Corners 7">
          <a:extLst>
            <a:ext uri="{FF2B5EF4-FFF2-40B4-BE49-F238E27FC236}">
              <a16:creationId xmlns:a16="http://schemas.microsoft.com/office/drawing/2014/main" id="{9FB5EAE7-768E-C99F-B09E-CB71FAC46DE5}"/>
            </a:ext>
          </a:extLst>
        </xdr:cNvPr>
        <xdr:cNvSpPr/>
      </xdr:nvSpPr>
      <xdr:spPr>
        <a:xfrm>
          <a:off x="163830" y="1828800"/>
          <a:ext cx="1908000" cy="296418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430530</xdr:colOff>
      <xdr:row>20</xdr:row>
      <xdr:rowOff>99840</xdr:rowOff>
    </xdr:from>
    <xdr:to>
      <xdr:col>12</xdr:col>
      <xdr:colOff>332130</xdr:colOff>
      <xdr:row>31</xdr:row>
      <xdr:rowOff>9060</xdr:rowOff>
    </xdr:to>
    <xdr:sp macro="" textlink="">
      <xdr:nvSpPr>
        <xdr:cNvPr id="13" name="Rectangle: Rounded Corners 12">
          <a:extLst>
            <a:ext uri="{FF2B5EF4-FFF2-40B4-BE49-F238E27FC236}">
              <a16:creationId xmlns:a16="http://schemas.microsoft.com/office/drawing/2014/main" id="{9DB9DFB3-8A59-DC79-2FAC-238B414EC87D}"/>
            </a:ext>
          </a:extLst>
        </xdr:cNvPr>
        <xdr:cNvSpPr/>
      </xdr:nvSpPr>
      <xdr:spPr>
        <a:xfrm>
          <a:off x="4697730" y="4519440"/>
          <a:ext cx="2340000" cy="23400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430530</xdr:colOff>
      <xdr:row>8</xdr:row>
      <xdr:rowOff>60960</xdr:rowOff>
    </xdr:from>
    <xdr:to>
      <xdr:col>12</xdr:col>
      <xdr:colOff>332130</xdr:colOff>
      <xdr:row>18</xdr:row>
      <xdr:rowOff>191160</xdr:rowOff>
    </xdr:to>
    <xdr:sp macro="" textlink="">
      <xdr:nvSpPr>
        <xdr:cNvPr id="14" name="Rectangle: Rounded Corners 13">
          <a:extLst>
            <a:ext uri="{FF2B5EF4-FFF2-40B4-BE49-F238E27FC236}">
              <a16:creationId xmlns:a16="http://schemas.microsoft.com/office/drawing/2014/main" id="{83C969FC-F809-91C0-3295-DEC683E7FD5F}"/>
            </a:ext>
          </a:extLst>
        </xdr:cNvPr>
        <xdr:cNvSpPr/>
      </xdr:nvSpPr>
      <xdr:spPr>
        <a:xfrm>
          <a:off x="4697730" y="1828800"/>
          <a:ext cx="2340000" cy="23400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365760</xdr:colOff>
      <xdr:row>8</xdr:row>
      <xdr:rowOff>60960</xdr:rowOff>
    </xdr:from>
    <xdr:to>
      <xdr:col>8</xdr:col>
      <xdr:colOff>259740</xdr:colOff>
      <xdr:row>13</xdr:row>
      <xdr:rowOff>160020</xdr:rowOff>
    </xdr:to>
    <xdr:sp macro="" textlink="">
      <xdr:nvSpPr>
        <xdr:cNvPr id="15" name="Rectangle: Rounded Corners 14">
          <a:extLst>
            <a:ext uri="{FF2B5EF4-FFF2-40B4-BE49-F238E27FC236}">
              <a16:creationId xmlns:a16="http://schemas.microsoft.com/office/drawing/2014/main" id="{FE2B1791-9DB1-E1BD-B7D5-3B19E6C10E18}"/>
            </a:ext>
          </a:extLst>
        </xdr:cNvPr>
        <xdr:cNvSpPr/>
      </xdr:nvSpPr>
      <xdr:spPr>
        <a:xfrm>
          <a:off x="2194560" y="1828800"/>
          <a:ext cx="2332380" cy="120396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457200</xdr:colOff>
      <xdr:row>14</xdr:row>
      <xdr:rowOff>72390</xdr:rowOff>
    </xdr:from>
    <xdr:to>
      <xdr:col>6</xdr:col>
      <xdr:colOff>282000</xdr:colOff>
      <xdr:row>19</xdr:row>
      <xdr:rowOff>11490</xdr:rowOff>
    </xdr:to>
    <xdr:sp macro="" textlink="">
      <xdr:nvSpPr>
        <xdr:cNvPr id="16" name="Rectangle: Rounded Corners 15">
          <a:extLst>
            <a:ext uri="{FF2B5EF4-FFF2-40B4-BE49-F238E27FC236}">
              <a16:creationId xmlns:a16="http://schemas.microsoft.com/office/drawing/2014/main" id="{36406D8B-FB60-C692-5C1F-DAE04D914334}"/>
            </a:ext>
          </a:extLst>
        </xdr:cNvPr>
        <xdr:cNvSpPr/>
      </xdr:nvSpPr>
      <xdr:spPr>
        <a:xfrm>
          <a:off x="2286000" y="3166110"/>
          <a:ext cx="1044000" cy="10440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411480</xdr:colOff>
      <xdr:row>14</xdr:row>
      <xdr:rowOff>72390</xdr:rowOff>
    </xdr:from>
    <xdr:to>
      <xdr:col>8</xdr:col>
      <xdr:colOff>236280</xdr:colOff>
      <xdr:row>19</xdr:row>
      <xdr:rowOff>11490</xdr:rowOff>
    </xdr:to>
    <xdr:sp macro="" textlink="">
      <xdr:nvSpPr>
        <xdr:cNvPr id="18" name="Rectangle: Rounded Corners 17">
          <a:extLst>
            <a:ext uri="{FF2B5EF4-FFF2-40B4-BE49-F238E27FC236}">
              <a16:creationId xmlns:a16="http://schemas.microsoft.com/office/drawing/2014/main" id="{6D6013D5-084D-C264-236D-548D91268804}"/>
            </a:ext>
          </a:extLst>
        </xdr:cNvPr>
        <xdr:cNvSpPr/>
      </xdr:nvSpPr>
      <xdr:spPr>
        <a:xfrm>
          <a:off x="3459480" y="3166110"/>
          <a:ext cx="1044000" cy="10440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556260</xdr:colOff>
      <xdr:row>26</xdr:row>
      <xdr:rowOff>87630</xdr:rowOff>
    </xdr:from>
    <xdr:to>
      <xdr:col>14</xdr:col>
      <xdr:colOff>273060</xdr:colOff>
      <xdr:row>30</xdr:row>
      <xdr:rowOff>139710</xdr:rowOff>
    </xdr:to>
    <xdr:sp macro="" textlink="">
      <xdr:nvSpPr>
        <xdr:cNvPr id="19" name="Rectangle: Rounded Corners 18">
          <a:extLst>
            <a:ext uri="{FF2B5EF4-FFF2-40B4-BE49-F238E27FC236}">
              <a16:creationId xmlns:a16="http://schemas.microsoft.com/office/drawing/2014/main" id="{B495BFA8-BABC-9A3D-940D-317D61947981}"/>
            </a:ext>
          </a:extLst>
        </xdr:cNvPr>
        <xdr:cNvSpPr/>
      </xdr:nvSpPr>
      <xdr:spPr>
        <a:xfrm>
          <a:off x="7261860" y="5833110"/>
          <a:ext cx="936000" cy="9360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403860</xdr:colOff>
      <xdr:row>26</xdr:row>
      <xdr:rowOff>87630</xdr:rowOff>
    </xdr:from>
    <xdr:to>
      <xdr:col>16</xdr:col>
      <xdr:colOff>120660</xdr:colOff>
      <xdr:row>30</xdr:row>
      <xdr:rowOff>139710</xdr:rowOff>
    </xdr:to>
    <xdr:sp macro="" textlink="">
      <xdr:nvSpPr>
        <xdr:cNvPr id="20" name="Rectangle: Rounded Corners 19">
          <a:extLst>
            <a:ext uri="{FF2B5EF4-FFF2-40B4-BE49-F238E27FC236}">
              <a16:creationId xmlns:a16="http://schemas.microsoft.com/office/drawing/2014/main" id="{FAF86892-FB4E-DA93-DD31-CF4B53D2910E}"/>
            </a:ext>
          </a:extLst>
        </xdr:cNvPr>
        <xdr:cNvSpPr/>
      </xdr:nvSpPr>
      <xdr:spPr>
        <a:xfrm>
          <a:off x="8328660" y="5833110"/>
          <a:ext cx="936000" cy="9360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373380</xdr:colOff>
      <xdr:row>21</xdr:row>
      <xdr:rowOff>163830</xdr:rowOff>
    </xdr:from>
    <xdr:to>
      <xdr:col>16</xdr:col>
      <xdr:colOff>90180</xdr:colOff>
      <xdr:row>25</xdr:row>
      <xdr:rowOff>215910</xdr:rowOff>
    </xdr:to>
    <xdr:sp macro="" textlink="">
      <xdr:nvSpPr>
        <xdr:cNvPr id="21" name="Rectangle: Rounded Corners 20">
          <a:extLst>
            <a:ext uri="{FF2B5EF4-FFF2-40B4-BE49-F238E27FC236}">
              <a16:creationId xmlns:a16="http://schemas.microsoft.com/office/drawing/2014/main" id="{6C55E859-F0FE-68E7-BA09-4EF80DEF7E4A}"/>
            </a:ext>
          </a:extLst>
        </xdr:cNvPr>
        <xdr:cNvSpPr/>
      </xdr:nvSpPr>
      <xdr:spPr>
        <a:xfrm>
          <a:off x="8298180" y="4804410"/>
          <a:ext cx="936000" cy="9360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434340</xdr:colOff>
      <xdr:row>9</xdr:row>
      <xdr:rowOff>182880</xdr:rowOff>
    </xdr:from>
    <xdr:to>
      <xdr:col>16</xdr:col>
      <xdr:colOff>127560</xdr:colOff>
      <xdr:row>17</xdr:row>
      <xdr:rowOff>35820</xdr:rowOff>
    </xdr:to>
    <xdr:sp macro="" textlink="">
      <xdr:nvSpPr>
        <xdr:cNvPr id="22" name="Rectangle: Rounded Corners 21">
          <a:extLst>
            <a:ext uri="{FF2B5EF4-FFF2-40B4-BE49-F238E27FC236}">
              <a16:creationId xmlns:a16="http://schemas.microsoft.com/office/drawing/2014/main" id="{7B677035-10D3-C391-7484-DA345450F3C8}"/>
            </a:ext>
          </a:extLst>
        </xdr:cNvPr>
        <xdr:cNvSpPr/>
      </xdr:nvSpPr>
      <xdr:spPr>
        <a:xfrm>
          <a:off x="7139940" y="2171700"/>
          <a:ext cx="2131620" cy="162078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374870</xdr:colOff>
      <xdr:row>26</xdr:row>
      <xdr:rowOff>87630</xdr:rowOff>
    </xdr:from>
    <xdr:to>
      <xdr:col>16</xdr:col>
      <xdr:colOff>129663</xdr:colOff>
      <xdr:row>30</xdr:row>
      <xdr:rowOff>139710</xdr:rowOff>
    </xdr:to>
    <xdr:sp macro="" textlink="">
      <xdr:nvSpPr>
        <xdr:cNvPr id="23" name="Rectangle: Rounded Corners 22">
          <a:extLst>
            <a:ext uri="{FF2B5EF4-FFF2-40B4-BE49-F238E27FC236}">
              <a16:creationId xmlns:a16="http://schemas.microsoft.com/office/drawing/2014/main" id="{A30BE292-EFC6-AD42-10A9-8499C3653C58}"/>
            </a:ext>
          </a:extLst>
        </xdr:cNvPr>
        <xdr:cNvSpPr/>
      </xdr:nvSpPr>
      <xdr:spPr>
        <a:xfrm>
          <a:off x="8299670" y="5833110"/>
          <a:ext cx="973993" cy="9360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343153</xdr:colOff>
      <xdr:row>21</xdr:row>
      <xdr:rowOff>163830</xdr:rowOff>
    </xdr:from>
    <xdr:to>
      <xdr:col>16</xdr:col>
      <xdr:colOff>97946</xdr:colOff>
      <xdr:row>25</xdr:row>
      <xdr:rowOff>215910</xdr:rowOff>
    </xdr:to>
    <xdr:sp macro="" textlink="">
      <xdr:nvSpPr>
        <xdr:cNvPr id="24" name="Rectangle: Rounded Corners 23">
          <a:extLst>
            <a:ext uri="{FF2B5EF4-FFF2-40B4-BE49-F238E27FC236}">
              <a16:creationId xmlns:a16="http://schemas.microsoft.com/office/drawing/2014/main" id="{20897AA6-95F2-056C-3D1D-E6108386F735}"/>
            </a:ext>
          </a:extLst>
        </xdr:cNvPr>
        <xdr:cNvSpPr/>
      </xdr:nvSpPr>
      <xdr:spPr>
        <a:xfrm>
          <a:off x="8267953" y="4804410"/>
          <a:ext cx="973993" cy="9360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434340</xdr:colOff>
      <xdr:row>1</xdr:row>
      <xdr:rowOff>30480</xdr:rowOff>
    </xdr:from>
    <xdr:to>
      <xdr:col>16</xdr:col>
      <xdr:colOff>119940</xdr:colOff>
      <xdr:row>9</xdr:row>
      <xdr:rowOff>43440</xdr:rowOff>
    </xdr:to>
    <xdr:sp macro="" textlink="">
      <xdr:nvSpPr>
        <xdr:cNvPr id="26" name="Rectangle: Rounded Corners 25">
          <a:extLst>
            <a:ext uri="{FF2B5EF4-FFF2-40B4-BE49-F238E27FC236}">
              <a16:creationId xmlns:a16="http://schemas.microsoft.com/office/drawing/2014/main" id="{9EE12F57-C4D2-22BF-7482-C70495FEA6BC}"/>
            </a:ext>
          </a:extLst>
        </xdr:cNvPr>
        <xdr:cNvSpPr/>
      </xdr:nvSpPr>
      <xdr:spPr>
        <a:xfrm>
          <a:off x="7139940" y="251460"/>
          <a:ext cx="2124000" cy="1780800"/>
        </a:xfrm>
        <a:prstGeom prst="roundRect">
          <a:avLst>
            <a:gd name="adj" fmla="val 837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327660</xdr:colOff>
      <xdr:row>21</xdr:row>
      <xdr:rowOff>83820</xdr:rowOff>
    </xdr:from>
    <xdr:to>
      <xdr:col>15</xdr:col>
      <xdr:colOff>525780</xdr:colOff>
      <xdr:row>24</xdr:row>
      <xdr:rowOff>76200</xdr:rowOff>
    </xdr:to>
    <xdr:sp macro="" textlink="">
      <xdr:nvSpPr>
        <xdr:cNvPr id="30" name="TextBox 29">
          <a:extLst>
            <a:ext uri="{FF2B5EF4-FFF2-40B4-BE49-F238E27FC236}">
              <a16:creationId xmlns:a16="http://schemas.microsoft.com/office/drawing/2014/main" id="{1AD8BC25-0E21-3F68-50A2-D000EDBB7AA8}"/>
            </a:ext>
          </a:extLst>
        </xdr:cNvPr>
        <xdr:cNvSpPr txBox="1"/>
      </xdr:nvSpPr>
      <xdr:spPr>
        <a:xfrm>
          <a:off x="8252460" y="4724400"/>
          <a:ext cx="80772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100">
              <a:solidFill>
                <a:schemeClr val="bg1"/>
              </a:solidFill>
            </a:rPr>
            <a:t>Part </a:t>
          </a:r>
        </a:p>
        <a:p>
          <a:pPr algn="l"/>
          <a:r>
            <a:rPr lang="en-IN" sz="1100">
              <a:solidFill>
                <a:schemeClr val="bg1"/>
              </a:solidFill>
            </a:rPr>
            <a:t>time </a:t>
          </a:r>
        </a:p>
        <a:p>
          <a:pPr algn="l"/>
          <a:r>
            <a:rPr lang="en-IN" sz="1100">
              <a:solidFill>
                <a:schemeClr val="bg1"/>
              </a:solidFill>
            </a:rPr>
            <a:t>Employee</a:t>
          </a:r>
        </a:p>
        <a:p>
          <a:pPr algn="l"/>
          <a:endParaRPr lang="en-IN" sz="1100">
            <a:solidFill>
              <a:schemeClr val="bg1"/>
            </a:solidFill>
          </a:endParaRPr>
        </a:p>
      </xdr:txBody>
    </xdr:sp>
    <xdr:clientData/>
  </xdr:twoCellAnchor>
  <xdr:twoCellAnchor>
    <xdr:from>
      <xdr:col>15</xdr:col>
      <xdr:colOff>220980</xdr:colOff>
      <xdr:row>24</xdr:row>
      <xdr:rowOff>53340</xdr:rowOff>
    </xdr:from>
    <xdr:to>
      <xdr:col>16</xdr:col>
      <xdr:colOff>114300</xdr:colOff>
      <xdr:row>25</xdr:row>
      <xdr:rowOff>190500</xdr:rowOff>
    </xdr:to>
    <xdr:sp macro="" textlink="">
      <xdr:nvSpPr>
        <xdr:cNvPr id="31" name="TextBox 30">
          <a:extLst>
            <a:ext uri="{FF2B5EF4-FFF2-40B4-BE49-F238E27FC236}">
              <a16:creationId xmlns:a16="http://schemas.microsoft.com/office/drawing/2014/main" id="{CF0EEE14-4D9B-8FE7-90DD-FC42D6F2BFB1}"/>
            </a:ext>
          </a:extLst>
        </xdr:cNvPr>
        <xdr:cNvSpPr txBox="1"/>
      </xdr:nvSpPr>
      <xdr:spPr>
        <a:xfrm>
          <a:off x="8755380" y="5356860"/>
          <a:ext cx="502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13</a:t>
          </a:r>
        </a:p>
      </xdr:txBody>
    </xdr:sp>
    <xdr:clientData/>
  </xdr:twoCellAnchor>
  <xdr:twoCellAnchor>
    <xdr:from>
      <xdr:col>14</xdr:col>
      <xdr:colOff>344390</xdr:colOff>
      <xdr:row>26</xdr:row>
      <xdr:rowOff>11430</xdr:rowOff>
    </xdr:from>
    <xdr:to>
      <xdr:col>15</xdr:col>
      <xdr:colOff>542510</xdr:colOff>
      <xdr:row>29</xdr:row>
      <xdr:rowOff>3810</xdr:rowOff>
    </xdr:to>
    <xdr:sp macro="" textlink="">
      <xdr:nvSpPr>
        <xdr:cNvPr id="32" name="TextBox 31">
          <a:extLst>
            <a:ext uri="{FF2B5EF4-FFF2-40B4-BE49-F238E27FC236}">
              <a16:creationId xmlns:a16="http://schemas.microsoft.com/office/drawing/2014/main" id="{DD3FF6DD-0CBD-4A56-88D6-2F5CAA3B4970}"/>
            </a:ext>
          </a:extLst>
        </xdr:cNvPr>
        <xdr:cNvSpPr txBox="1"/>
      </xdr:nvSpPr>
      <xdr:spPr>
        <a:xfrm>
          <a:off x="8269190" y="5756910"/>
          <a:ext cx="80772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100">
              <a:solidFill>
                <a:schemeClr val="bg1"/>
              </a:solidFill>
            </a:rPr>
            <a:t>Full </a:t>
          </a:r>
        </a:p>
        <a:p>
          <a:pPr algn="l"/>
          <a:r>
            <a:rPr lang="en-IN" sz="1100">
              <a:solidFill>
                <a:schemeClr val="bg1"/>
              </a:solidFill>
            </a:rPr>
            <a:t>time </a:t>
          </a:r>
        </a:p>
        <a:p>
          <a:pPr algn="l"/>
          <a:r>
            <a:rPr lang="en-IN" sz="1100">
              <a:solidFill>
                <a:schemeClr val="bg1"/>
              </a:solidFill>
            </a:rPr>
            <a:t>Employee</a:t>
          </a:r>
        </a:p>
        <a:p>
          <a:pPr algn="l"/>
          <a:endParaRPr lang="en-IN" sz="1100">
            <a:solidFill>
              <a:schemeClr val="bg1"/>
            </a:solidFill>
          </a:endParaRPr>
        </a:p>
      </xdr:txBody>
    </xdr:sp>
    <xdr:clientData/>
  </xdr:twoCellAnchor>
  <xdr:twoCellAnchor>
    <xdr:from>
      <xdr:col>12</xdr:col>
      <xdr:colOff>541020</xdr:colOff>
      <xdr:row>26</xdr:row>
      <xdr:rowOff>11430</xdr:rowOff>
    </xdr:from>
    <xdr:to>
      <xdr:col>14</xdr:col>
      <xdr:colOff>129540</xdr:colOff>
      <xdr:row>29</xdr:row>
      <xdr:rowOff>3810</xdr:rowOff>
    </xdr:to>
    <xdr:sp macro="" textlink="">
      <xdr:nvSpPr>
        <xdr:cNvPr id="33" name="TextBox 32">
          <a:extLst>
            <a:ext uri="{FF2B5EF4-FFF2-40B4-BE49-F238E27FC236}">
              <a16:creationId xmlns:a16="http://schemas.microsoft.com/office/drawing/2014/main" id="{AB24FC32-A0B4-44AF-8F27-623D21C7DA7A}"/>
            </a:ext>
          </a:extLst>
        </xdr:cNvPr>
        <xdr:cNvSpPr txBox="1"/>
      </xdr:nvSpPr>
      <xdr:spPr>
        <a:xfrm>
          <a:off x="7246620" y="5756910"/>
          <a:ext cx="80772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100">
              <a:solidFill>
                <a:schemeClr val="bg1"/>
              </a:solidFill>
            </a:rPr>
            <a:t>Employee</a:t>
          </a:r>
        </a:p>
        <a:p>
          <a:pPr algn="l"/>
          <a:r>
            <a:rPr lang="en-IN" sz="1100">
              <a:solidFill>
                <a:schemeClr val="bg1"/>
              </a:solidFill>
            </a:rPr>
            <a:t>with</a:t>
          </a:r>
        </a:p>
        <a:p>
          <a:pPr algn="l"/>
          <a:r>
            <a:rPr lang="en-IN" sz="1100">
              <a:solidFill>
                <a:schemeClr val="bg1"/>
              </a:solidFill>
            </a:rPr>
            <a:t>Contracts</a:t>
          </a:r>
        </a:p>
        <a:p>
          <a:pPr algn="l"/>
          <a:endParaRPr lang="en-IN" sz="1100">
            <a:solidFill>
              <a:schemeClr val="bg1"/>
            </a:solidFill>
          </a:endParaRPr>
        </a:p>
      </xdr:txBody>
    </xdr:sp>
    <xdr:clientData/>
  </xdr:twoCellAnchor>
  <xdr:twoCellAnchor>
    <xdr:from>
      <xdr:col>15</xdr:col>
      <xdr:colOff>289560</xdr:colOff>
      <xdr:row>28</xdr:row>
      <xdr:rowOff>160020</xdr:rowOff>
    </xdr:from>
    <xdr:to>
      <xdr:col>16</xdr:col>
      <xdr:colOff>182880</xdr:colOff>
      <xdr:row>30</xdr:row>
      <xdr:rowOff>83820</xdr:rowOff>
    </xdr:to>
    <xdr:sp macro="" textlink="">
      <xdr:nvSpPr>
        <xdr:cNvPr id="39" name="TextBox 38">
          <a:extLst>
            <a:ext uri="{FF2B5EF4-FFF2-40B4-BE49-F238E27FC236}">
              <a16:creationId xmlns:a16="http://schemas.microsoft.com/office/drawing/2014/main" id="{FD8C254A-C8AD-DFB9-85E4-D2A5DBAC9952}"/>
            </a:ext>
          </a:extLst>
        </xdr:cNvPr>
        <xdr:cNvSpPr txBox="1"/>
      </xdr:nvSpPr>
      <xdr:spPr>
        <a:xfrm>
          <a:off x="8823960" y="6347460"/>
          <a:ext cx="5029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20</a:t>
          </a:r>
        </a:p>
      </xdr:txBody>
    </xdr:sp>
    <xdr:clientData/>
  </xdr:twoCellAnchor>
  <xdr:twoCellAnchor>
    <xdr:from>
      <xdr:col>13</xdr:col>
      <xdr:colOff>411480</xdr:colOff>
      <xdr:row>28</xdr:row>
      <xdr:rowOff>213360</xdr:rowOff>
    </xdr:from>
    <xdr:to>
      <xdr:col>14</xdr:col>
      <xdr:colOff>259080</xdr:colOff>
      <xdr:row>30</xdr:row>
      <xdr:rowOff>60960</xdr:rowOff>
    </xdr:to>
    <xdr:sp macro="" textlink="'Pivot Table'!B9">
      <xdr:nvSpPr>
        <xdr:cNvPr id="40" name="TextBox 39">
          <a:extLst>
            <a:ext uri="{FF2B5EF4-FFF2-40B4-BE49-F238E27FC236}">
              <a16:creationId xmlns:a16="http://schemas.microsoft.com/office/drawing/2014/main" id="{E8B88665-7C23-9389-D8F1-C19B89182741}"/>
            </a:ext>
          </a:extLst>
        </xdr:cNvPr>
        <xdr:cNvSpPr txBox="1"/>
      </xdr:nvSpPr>
      <xdr:spPr>
        <a:xfrm>
          <a:off x="7726680" y="6400800"/>
          <a:ext cx="4572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26377B-56B9-43EB-AA26-58A31293131A}" type="TxLink">
            <a:rPr lang="en-US" sz="1800" b="1" i="0" u="none" strike="noStrike">
              <a:solidFill>
                <a:schemeClr val="bg1"/>
              </a:solidFill>
              <a:latin typeface="Aptos Narrow"/>
            </a:rPr>
            <a:pPr/>
            <a:t>17</a:t>
          </a:fld>
          <a:endParaRPr lang="en-IN" sz="1800" b="1">
            <a:solidFill>
              <a:schemeClr val="bg1"/>
            </a:solidFill>
          </a:endParaRPr>
        </a:p>
      </xdr:txBody>
    </xdr:sp>
    <xdr:clientData/>
  </xdr:twoCellAnchor>
  <xdr:twoCellAnchor>
    <xdr:from>
      <xdr:col>8</xdr:col>
      <xdr:colOff>571500</xdr:colOff>
      <xdr:row>24</xdr:row>
      <xdr:rowOff>55798</xdr:rowOff>
    </xdr:from>
    <xdr:to>
      <xdr:col>11</xdr:col>
      <xdr:colOff>53340</xdr:colOff>
      <xdr:row>25</xdr:row>
      <xdr:rowOff>121920</xdr:rowOff>
    </xdr:to>
    <xdr:sp macro="" textlink="">
      <xdr:nvSpPr>
        <xdr:cNvPr id="45" name="TextBox 44">
          <a:extLst>
            <a:ext uri="{FF2B5EF4-FFF2-40B4-BE49-F238E27FC236}">
              <a16:creationId xmlns:a16="http://schemas.microsoft.com/office/drawing/2014/main" id="{90558915-4DC0-FFA4-0784-667596828E1B}"/>
            </a:ext>
          </a:extLst>
        </xdr:cNvPr>
        <xdr:cNvSpPr txBox="1"/>
      </xdr:nvSpPr>
      <xdr:spPr>
        <a:xfrm>
          <a:off x="4838700" y="5359318"/>
          <a:ext cx="1310640" cy="28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Managers</a:t>
          </a:r>
        </a:p>
      </xdr:txBody>
    </xdr:sp>
    <xdr:clientData/>
  </xdr:twoCellAnchor>
  <xdr:twoCellAnchor>
    <xdr:from>
      <xdr:col>8</xdr:col>
      <xdr:colOff>525780</xdr:colOff>
      <xdr:row>23</xdr:row>
      <xdr:rowOff>49920</xdr:rowOff>
    </xdr:from>
    <xdr:to>
      <xdr:col>11</xdr:col>
      <xdr:colOff>68580</xdr:colOff>
      <xdr:row>24</xdr:row>
      <xdr:rowOff>91440</xdr:rowOff>
    </xdr:to>
    <xdr:sp macro="" textlink="">
      <xdr:nvSpPr>
        <xdr:cNvPr id="49" name="TextBox 48">
          <a:extLst>
            <a:ext uri="{FF2B5EF4-FFF2-40B4-BE49-F238E27FC236}">
              <a16:creationId xmlns:a16="http://schemas.microsoft.com/office/drawing/2014/main" id="{7BF70D75-CF47-B0DA-4CAC-C7011760A709}"/>
            </a:ext>
          </a:extLst>
        </xdr:cNvPr>
        <xdr:cNvSpPr txBox="1"/>
      </xdr:nvSpPr>
      <xdr:spPr>
        <a:xfrm>
          <a:off x="4792980" y="5132460"/>
          <a:ext cx="1371600" cy="26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Salaries </a:t>
          </a:r>
        </a:p>
      </xdr:txBody>
    </xdr:sp>
    <xdr:clientData/>
  </xdr:twoCellAnchor>
  <xdr:twoCellAnchor>
    <xdr:from>
      <xdr:col>8</xdr:col>
      <xdr:colOff>518160</xdr:colOff>
      <xdr:row>25</xdr:row>
      <xdr:rowOff>107179</xdr:rowOff>
    </xdr:from>
    <xdr:to>
      <xdr:col>10</xdr:col>
      <xdr:colOff>579120</xdr:colOff>
      <xdr:row>26</xdr:row>
      <xdr:rowOff>152400</xdr:rowOff>
    </xdr:to>
    <xdr:sp macro="" textlink="">
      <xdr:nvSpPr>
        <xdr:cNvPr id="50" name="TextBox 49">
          <a:extLst>
            <a:ext uri="{FF2B5EF4-FFF2-40B4-BE49-F238E27FC236}">
              <a16:creationId xmlns:a16="http://schemas.microsoft.com/office/drawing/2014/main" id="{529363BA-E101-156C-4C2B-764A0BD1A93D}"/>
            </a:ext>
          </a:extLst>
        </xdr:cNvPr>
        <xdr:cNvSpPr txBox="1"/>
      </xdr:nvSpPr>
      <xdr:spPr>
        <a:xfrm>
          <a:off x="4785360" y="5631679"/>
          <a:ext cx="1280160" cy="266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HR</a:t>
          </a:r>
          <a:r>
            <a:rPr lang="en-IN" sz="1100" baseline="0">
              <a:solidFill>
                <a:schemeClr val="bg1"/>
              </a:solidFill>
            </a:rPr>
            <a:t> Specialists</a:t>
          </a:r>
          <a:endParaRPr lang="en-IN" sz="1100">
            <a:solidFill>
              <a:schemeClr val="bg1"/>
            </a:solidFill>
          </a:endParaRPr>
        </a:p>
      </xdr:txBody>
    </xdr:sp>
    <xdr:clientData/>
  </xdr:twoCellAnchor>
  <xdr:twoCellAnchor>
    <xdr:from>
      <xdr:col>8</xdr:col>
      <xdr:colOff>533400</xdr:colOff>
      <xdr:row>26</xdr:row>
      <xdr:rowOff>175259</xdr:rowOff>
    </xdr:from>
    <xdr:to>
      <xdr:col>11</xdr:col>
      <xdr:colOff>106680</xdr:colOff>
      <xdr:row>27</xdr:row>
      <xdr:rowOff>205740</xdr:rowOff>
    </xdr:to>
    <xdr:sp macro="" textlink="">
      <xdr:nvSpPr>
        <xdr:cNvPr id="51" name="TextBox 50">
          <a:extLst>
            <a:ext uri="{FF2B5EF4-FFF2-40B4-BE49-F238E27FC236}">
              <a16:creationId xmlns:a16="http://schemas.microsoft.com/office/drawing/2014/main" id="{9DE9E77C-BC44-6624-B5D1-4BA635AA8780}"/>
            </a:ext>
          </a:extLst>
        </xdr:cNvPr>
        <xdr:cNvSpPr txBox="1"/>
      </xdr:nvSpPr>
      <xdr:spPr>
        <a:xfrm>
          <a:off x="4800600" y="5920739"/>
          <a:ext cx="1402080" cy="251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Developers</a:t>
          </a:r>
        </a:p>
      </xdr:txBody>
    </xdr:sp>
    <xdr:clientData/>
  </xdr:twoCellAnchor>
  <xdr:twoCellAnchor>
    <xdr:from>
      <xdr:col>8</xdr:col>
      <xdr:colOff>548640</xdr:colOff>
      <xdr:row>27</xdr:row>
      <xdr:rowOff>175260</xdr:rowOff>
    </xdr:from>
    <xdr:to>
      <xdr:col>11</xdr:col>
      <xdr:colOff>30480</xdr:colOff>
      <xdr:row>28</xdr:row>
      <xdr:rowOff>213360</xdr:rowOff>
    </xdr:to>
    <xdr:sp macro="" textlink="">
      <xdr:nvSpPr>
        <xdr:cNvPr id="52" name="TextBox 51">
          <a:extLst>
            <a:ext uri="{FF2B5EF4-FFF2-40B4-BE49-F238E27FC236}">
              <a16:creationId xmlns:a16="http://schemas.microsoft.com/office/drawing/2014/main" id="{AF79E3A0-724F-307D-D442-A9C74A6FDD7C}"/>
            </a:ext>
          </a:extLst>
        </xdr:cNvPr>
        <xdr:cNvSpPr txBox="1"/>
      </xdr:nvSpPr>
      <xdr:spPr>
        <a:xfrm>
          <a:off x="4815840" y="6141720"/>
          <a:ext cx="13106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Designers</a:t>
          </a:r>
        </a:p>
      </xdr:txBody>
    </xdr:sp>
    <xdr:clientData/>
  </xdr:twoCellAnchor>
  <xdr:twoCellAnchor>
    <xdr:from>
      <xdr:col>8</xdr:col>
      <xdr:colOff>548640</xdr:colOff>
      <xdr:row>28</xdr:row>
      <xdr:rowOff>193611</xdr:rowOff>
    </xdr:from>
    <xdr:to>
      <xdr:col>11</xdr:col>
      <xdr:colOff>60960</xdr:colOff>
      <xdr:row>30</xdr:row>
      <xdr:rowOff>0</xdr:rowOff>
    </xdr:to>
    <xdr:sp macro="" textlink="">
      <xdr:nvSpPr>
        <xdr:cNvPr id="53" name="TextBox 52">
          <a:extLst>
            <a:ext uri="{FF2B5EF4-FFF2-40B4-BE49-F238E27FC236}">
              <a16:creationId xmlns:a16="http://schemas.microsoft.com/office/drawing/2014/main" id="{8E59619E-BA2F-A5AD-7F78-1C56073940E6}"/>
            </a:ext>
          </a:extLst>
        </xdr:cNvPr>
        <xdr:cNvSpPr txBox="1"/>
      </xdr:nvSpPr>
      <xdr:spPr>
        <a:xfrm>
          <a:off x="4815840" y="6381051"/>
          <a:ext cx="1341120" cy="248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Analysis</a:t>
          </a:r>
        </a:p>
      </xdr:txBody>
    </xdr:sp>
    <xdr:clientData/>
  </xdr:twoCellAnchor>
  <xdr:twoCellAnchor>
    <xdr:from>
      <xdr:col>11</xdr:col>
      <xdr:colOff>22860</xdr:colOff>
      <xdr:row>29</xdr:row>
      <xdr:rowOff>7620</xdr:rowOff>
    </xdr:from>
    <xdr:to>
      <xdr:col>12</xdr:col>
      <xdr:colOff>223380</xdr:colOff>
      <xdr:row>30</xdr:row>
      <xdr:rowOff>21300</xdr:rowOff>
    </xdr:to>
    <xdr:sp macro="" textlink="">
      <xdr:nvSpPr>
        <xdr:cNvPr id="89" name="Rectangle 88">
          <a:extLst>
            <a:ext uri="{FF2B5EF4-FFF2-40B4-BE49-F238E27FC236}">
              <a16:creationId xmlns:a16="http://schemas.microsoft.com/office/drawing/2014/main" id="{3C03B9C8-6CB1-4DEE-9BC2-46B9DB3AEC43}"/>
            </a:ext>
          </a:extLst>
        </xdr:cNvPr>
        <xdr:cNvSpPr/>
      </xdr:nvSpPr>
      <xdr:spPr>
        <a:xfrm>
          <a:off x="6118860" y="6416040"/>
          <a:ext cx="810120" cy="23466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26175</xdr:colOff>
      <xdr:row>27</xdr:row>
      <xdr:rowOff>190500</xdr:rowOff>
    </xdr:from>
    <xdr:to>
      <xdr:col>12</xdr:col>
      <xdr:colOff>226695</xdr:colOff>
      <xdr:row>28</xdr:row>
      <xdr:rowOff>204180</xdr:rowOff>
    </xdr:to>
    <xdr:sp macro="" textlink="">
      <xdr:nvSpPr>
        <xdr:cNvPr id="90" name="Rectangle 89">
          <a:extLst>
            <a:ext uri="{FF2B5EF4-FFF2-40B4-BE49-F238E27FC236}">
              <a16:creationId xmlns:a16="http://schemas.microsoft.com/office/drawing/2014/main" id="{4EA77B64-538D-ED7B-A07D-B4233C9E807C}"/>
            </a:ext>
          </a:extLst>
        </xdr:cNvPr>
        <xdr:cNvSpPr/>
      </xdr:nvSpPr>
      <xdr:spPr>
        <a:xfrm>
          <a:off x="6122175" y="6156960"/>
          <a:ext cx="810120" cy="23466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32805</xdr:colOff>
      <xdr:row>26</xdr:row>
      <xdr:rowOff>152400</xdr:rowOff>
    </xdr:from>
    <xdr:to>
      <xdr:col>12</xdr:col>
      <xdr:colOff>233325</xdr:colOff>
      <xdr:row>27</xdr:row>
      <xdr:rowOff>166080</xdr:rowOff>
    </xdr:to>
    <xdr:sp macro="" textlink="">
      <xdr:nvSpPr>
        <xdr:cNvPr id="91" name="Rectangle 90">
          <a:extLst>
            <a:ext uri="{FF2B5EF4-FFF2-40B4-BE49-F238E27FC236}">
              <a16:creationId xmlns:a16="http://schemas.microsoft.com/office/drawing/2014/main" id="{4F7E622F-4E14-EC5E-5225-CD1DDD29F35B}"/>
            </a:ext>
          </a:extLst>
        </xdr:cNvPr>
        <xdr:cNvSpPr/>
      </xdr:nvSpPr>
      <xdr:spPr>
        <a:xfrm>
          <a:off x="6128805" y="5897880"/>
          <a:ext cx="810120" cy="23466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30480</xdr:colOff>
      <xdr:row>25</xdr:row>
      <xdr:rowOff>114300</xdr:rowOff>
    </xdr:from>
    <xdr:to>
      <xdr:col>12</xdr:col>
      <xdr:colOff>231000</xdr:colOff>
      <xdr:row>26</xdr:row>
      <xdr:rowOff>127980</xdr:rowOff>
    </xdr:to>
    <xdr:sp macro="" textlink="">
      <xdr:nvSpPr>
        <xdr:cNvPr id="92" name="Rectangle 91">
          <a:extLst>
            <a:ext uri="{FF2B5EF4-FFF2-40B4-BE49-F238E27FC236}">
              <a16:creationId xmlns:a16="http://schemas.microsoft.com/office/drawing/2014/main" id="{4DF1C873-B2B0-2D1E-F414-1E77D7CFFAB4}"/>
            </a:ext>
          </a:extLst>
        </xdr:cNvPr>
        <xdr:cNvSpPr/>
      </xdr:nvSpPr>
      <xdr:spPr>
        <a:xfrm>
          <a:off x="6126480" y="5638800"/>
          <a:ext cx="810120" cy="23466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29490</xdr:colOff>
      <xdr:row>24</xdr:row>
      <xdr:rowOff>76200</xdr:rowOff>
    </xdr:from>
    <xdr:to>
      <xdr:col>12</xdr:col>
      <xdr:colOff>230010</xdr:colOff>
      <xdr:row>25</xdr:row>
      <xdr:rowOff>89880</xdr:rowOff>
    </xdr:to>
    <xdr:sp macro="" textlink="">
      <xdr:nvSpPr>
        <xdr:cNvPr id="103" name="Rectangle 102">
          <a:extLst>
            <a:ext uri="{FF2B5EF4-FFF2-40B4-BE49-F238E27FC236}">
              <a16:creationId xmlns:a16="http://schemas.microsoft.com/office/drawing/2014/main" id="{553A5881-FE98-0C55-B87A-7341BEA60004}"/>
            </a:ext>
          </a:extLst>
        </xdr:cNvPr>
        <xdr:cNvSpPr/>
      </xdr:nvSpPr>
      <xdr:spPr>
        <a:xfrm>
          <a:off x="6125490" y="5379720"/>
          <a:ext cx="810120" cy="23466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36120</xdr:colOff>
      <xdr:row>23</xdr:row>
      <xdr:rowOff>38100</xdr:rowOff>
    </xdr:from>
    <xdr:to>
      <xdr:col>12</xdr:col>
      <xdr:colOff>236640</xdr:colOff>
      <xdr:row>24</xdr:row>
      <xdr:rowOff>51780</xdr:rowOff>
    </xdr:to>
    <xdr:sp macro="" textlink="">
      <xdr:nvSpPr>
        <xdr:cNvPr id="106" name="Rectangle 105">
          <a:extLst>
            <a:ext uri="{FF2B5EF4-FFF2-40B4-BE49-F238E27FC236}">
              <a16:creationId xmlns:a16="http://schemas.microsoft.com/office/drawing/2014/main" id="{6F8E2499-1474-92AE-E709-90979904F230}"/>
            </a:ext>
          </a:extLst>
        </xdr:cNvPr>
        <xdr:cNvSpPr/>
      </xdr:nvSpPr>
      <xdr:spPr>
        <a:xfrm>
          <a:off x="6132120" y="5120640"/>
          <a:ext cx="810120" cy="234660"/>
        </a:xfrm>
        <a:prstGeom prst="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57302</xdr:colOff>
      <xdr:row>24</xdr:row>
      <xdr:rowOff>36561</xdr:rowOff>
    </xdr:from>
    <xdr:to>
      <xdr:col>12</xdr:col>
      <xdr:colOff>333990</xdr:colOff>
      <xdr:row>25</xdr:row>
      <xdr:rowOff>107666</xdr:rowOff>
    </xdr:to>
    <xdr:sp macro="" textlink="'Pivot Table'!E20">
      <xdr:nvSpPr>
        <xdr:cNvPr id="82" name="TextBox 81">
          <a:extLst>
            <a:ext uri="{FF2B5EF4-FFF2-40B4-BE49-F238E27FC236}">
              <a16:creationId xmlns:a16="http://schemas.microsoft.com/office/drawing/2014/main" id="{6E04197D-E915-432D-97A1-B6FC338BA2CB}"/>
            </a:ext>
          </a:extLst>
        </xdr:cNvPr>
        <xdr:cNvSpPr txBox="1"/>
      </xdr:nvSpPr>
      <xdr:spPr>
        <a:xfrm>
          <a:off x="6153302" y="5340081"/>
          <a:ext cx="886288" cy="292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1D7EBF1-72B2-4367-9583-A7D91F0BC6BC}" type="TxLink">
            <a:rPr lang="en-US" sz="1400" b="1" i="0" u="none" strike="noStrike">
              <a:solidFill>
                <a:schemeClr val="bg1"/>
              </a:solidFill>
              <a:latin typeface="Aptos Narrow"/>
            </a:rPr>
            <a:pPr algn="l"/>
            <a:t>731170</a:t>
          </a:fld>
          <a:endParaRPr lang="en-IN" sz="1400" b="1">
            <a:solidFill>
              <a:schemeClr val="bg1"/>
            </a:solidFill>
          </a:endParaRPr>
        </a:p>
      </xdr:txBody>
    </xdr:sp>
    <xdr:clientData/>
  </xdr:twoCellAnchor>
  <xdr:twoCellAnchor>
    <xdr:from>
      <xdr:col>11</xdr:col>
      <xdr:colOff>29190</xdr:colOff>
      <xdr:row>23</xdr:row>
      <xdr:rowOff>15240</xdr:rowOff>
    </xdr:from>
    <xdr:to>
      <xdr:col>12</xdr:col>
      <xdr:colOff>283590</xdr:colOff>
      <xdr:row>24</xdr:row>
      <xdr:rowOff>82260</xdr:rowOff>
    </xdr:to>
    <xdr:sp macro="" textlink="'Pivot Table'!E21">
      <xdr:nvSpPr>
        <xdr:cNvPr id="83" name="TextBox 82">
          <a:extLst>
            <a:ext uri="{FF2B5EF4-FFF2-40B4-BE49-F238E27FC236}">
              <a16:creationId xmlns:a16="http://schemas.microsoft.com/office/drawing/2014/main" id="{5063509C-07A6-4BF7-A0A5-7972A5862400}"/>
            </a:ext>
          </a:extLst>
        </xdr:cNvPr>
        <xdr:cNvSpPr txBox="1"/>
      </xdr:nvSpPr>
      <xdr:spPr>
        <a:xfrm>
          <a:off x="6125190" y="5097780"/>
          <a:ext cx="864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730B8E4-9DC7-48D2-81AB-B17FFD769F24}" type="TxLink">
            <a:rPr lang="en-US" sz="1400" b="1" i="0" u="none" strike="noStrike">
              <a:solidFill>
                <a:schemeClr val="bg1"/>
              </a:solidFill>
              <a:latin typeface="Aptos Narrow"/>
            </a:rPr>
            <a:pPr algn="l"/>
            <a:t>3104913</a:t>
          </a:fld>
          <a:endParaRPr lang="en-IN" sz="1400" b="1">
            <a:solidFill>
              <a:schemeClr val="bg1"/>
            </a:solidFill>
          </a:endParaRPr>
        </a:p>
      </xdr:txBody>
    </xdr:sp>
    <xdr:clientData/>
  </xdr:twoCellAnchor>
  <xdr:twoCellAnchor>
    <xdr:from>
      <xdr:col>11</xdr:col>
      <xdr:colOff>39436</xdr:colOff>
      <xdr:row>25</xdr:row>
      <xdr:rowOff>78564</xdr:rowOff>
    </xdr:from>
    <xdr:to>
      <xdr:col>12</xdr:col>
      <xdr:colOff>326370</xdr:colOff>
      <xdr:row>26</xdr:row>
      <xdr:rowOff>181584</xdr:rowOff>
    </xdr:to>
    <xdr:sp macro="" textlink="'Pivot Table'!E19">
      <xdr:nvSpPr>
        <xdr:cNvPr id="84" name="TextBox 83">
          <a:extLst>
            <a:ext uri="{FF2B5EF4-FFF2-40B4-BE49-F238E27FC236}">
              <a16:creationId xmlns:a16="http://schemas.microsoft.com/office/drawing/2014/main" id="{BB7B1755-CE14-43EE-86D3-1902A4EBFF04}"/>
            </a:ext>
          </a:extLst>
        </xdr:cNvPr>
        <xdr:cNvSpPr txBox="1"/>
      </xdr:nvSpPr>
      <xdr:spPr>
        <a:xfrm>
          <a:off x="6135436" y="5603064"/>
          <a:ext cx="896534"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3F9CB1A-2096-4CA8-8B67-3C9D1987C238}" type="TxLink">
            <a:rPr lang="en-US" sz="1400" b="1" i="0" u="none" strike="noStrike">
              <a:solidFill>
                <a:schemeClr val="bg1"/>
              </a:solidFill>
              <a:latin typeface="Aptos Narrow"/>
            </a:rPr>
            <a:pPr algn="l"/>
            <a:t>959266</a:t>
          </a:fld>
          <a:endParaRPr lang="en-IN" sz="1400" b="1">
            <a:solidFill>
              <a:schemeClr val="bg1"/>
            </a:solidFill>
          </a:endParaRPr>
        </a:p>
      </xdr:txBody>
    </xdr:sp>
    <xdr:clientData/>
  </xdr:twoCellAnchor>
  <xdr:twoCellAnchor>
    <xdr:from>
      <xdr:col>11</xdr:col>
      <xdr:colOff>31687</xdr:colOff>
      <xdr:row>26</xdr:row>
      <xdr:rowOff>125014</xdr:rowOff>
    </xdr:from>
    <xdr:to>
      <xdr:col>12</xdr:col>
      <xdr:colOff>286087</xdr:colOff>
      <xdr:row>27</xdr:row>
      <xdr:rowOff>216498</xdr:rowOff>
    </xdr:to>
    <xdr:sp macro="" textlink="'Pivot Table'!E18">
      <xdr:nvSpPr>
        <xdr:cNvPr id="85" name="TextBox 84">
          <a:extLst>
            <a:ext uri="{FF2B5EF4-FFF2-40B4-BE49-F238E27FC236}">
              <a16:creationId xmlns:a16="http://schemas.microsoft.com/office/drawing/2014/main" id="{D67BFD03-EA4A-4C8F-B544-CA830C820366}"/>
            </a:ext>
          </a:extLst>
        </xdr:cNvPr>
        <xdr:cNvSpPr txBox="1"/>
      </xdr:nvSpPr>
      <xdr:spPr>
        <a:xfrm>
          <a:off x="6127687" y="5870494"/>
          <a:ext cx="864000" cy="312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B2EC73E-12E5-43DC-A042-DE5AF6E1D433}" type="TxLink">
            <a:rPr lang="en-US" sz="1400" b="1" i="0" u="none" strike="noStrike">
              <a:solidFill>
                <a:schemeClr val="bg1"/>
              </a:solidFill>
              <a:latin typeface="Aptos Narrow"/>
            </a:rPr>
            <a:pPr algn="l"/>
            <a:t>633594</a:t>
          </a:fld>
          <a:endParaRPr lang="en-IN" sz="1400" b="1">
            <a:solidFill>
              <a:schemeClr val="bg1"/>
            </a:solidFill>
          </a:endParaRPr>
        </a:p>
      </xdr:txBody>
    </xdr:sp>
    <xdr:clientData/>
  </xdr:twoCellAnchor>
  <xdr:twoCellAnchor>
    <xdr:from>
      <xdr:col>11</xdr:col>
      <xdr:colOff>29319</xdr:colOff>
      <xdr:row>27</xdr:row>
      <xdr:rowOff>165805</xdr:rowOff>
    </xdr:from>
    <xdr:to>
      <xdr:col>12</xdr:col>
      <xdr:colOff>311130</xdr:colOff>
      <xdr:row>29</xdr:row>
      <xdr:rowOff>11845</xdr:rowOff>
    </xdr:to>
    <xdr:sp macro="" textlink="'Pivot Table'!E17">
      <xdr:nvSpPr>
        <xdr:cNvPr id="86" name="TextBox 85">
          <a:extLst>
            <a:ext uri="{FF2B5EF4-FFF2-40B4-BE49-F238E27FC236}">
              <a16:creationId xmlns:a16="http://schemas.microsoft.com/office/drawing/2014/main" id="{C7331145-6DC6-4EE2-8E90-C35EB5C8ACB8}"/>
            </a:ext>
          </a:extLst>
        </xdr:cNvPr>
        <xdr:cNvSpPr txBox="1"/>
      </xdr:nvSpPr>
      <xdr:spPr>
        <a:xfrm>
          <a:off x="6125319" y="6132265"/>
          <a:ext cx="891411"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E2DF83E-04AB-4580-B8CC-27B7BABB9A89}" type="TxLink">
            <a:rPr lang="en-US" sz="1400" b="1" i="0" u="none" strike="noStrike">
              <a:solidFill>
                <a:schemeClr val="bg1"/>
              </a:solidFill>
              <a:latin typeface="Aptos Narrow"/>
            </a:rPr>
            <a:pPr algn="l"/>
            <a:t>613842</a:t>
          </a:fld>
          <a:endParaRPr lang="en-IN" sz="1400" b="1">
            <a:solidFill>
              <a:schemeClr val="bg1"/>
            </a:solidFill>
          </a:endParaRPr>
        </a:p>
      </xdr:txBody>
    </xdr:sp>
    <xdr:clientData/>
  </xdr:twoCellAnchor>
  <xdr:twoCellAnchor>
    <xdr:from>
      <xdr:col>11</xdr:col>
      <xdr:colOff>19073</xdr:colOff>
      <xdr:row>28</xdr:row>
      <xdr:rowOff>185697</xdr:rowOff>
    </xdr:from>
    <xdr:to>
      <xdr:col>12</xdr:col>
      <xdr:colOff>273473</xdr:colOff>
      <xdr:row>30</xdr:row>
      <xdr:rowOff>31737</xdr:rowOff>
    </xdr:to>
    <xdr:sp macro="" textlink="'Pivot Table'!E16">
      <xdr:nvSpPr>
        <xdr:cNvPr id="87" name="TextBox 86">
          <a:extLst>
            <a:ext uri="{FF2B5EF4-FFF2-40B4-BE49-F238E27FC236}">
              <a16:creationId xmlns:a16="http://schemas.microsoft.com/office/drawing/2014/main" id="{F6DE6A2A-F56D-4765-B2CF-3BEAD95D1E24}"/>
            </a:ext>
          </a:extLst>
        </xdr:cNvPr>
        <xdr:cNvSpPr txBox="1"/>
      </xdr:nvSpPr>
      <xdr:spPr>
        <a:xfrm>
          <a:off x="6115073" y="6373137"/>
          <a:ext cx="864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6D82928-75E8-409B-A646-B030CF65A27E}" type="TxLink">
            <a:rPr lang="en-US" sz="1400" b="1" i="0" u="none" strike="noStrike">
              <a:solidFill>
                <a:schemeClr val="bg1"/>
              </a:solidFill>
              <a:latin typeface="Aptos Narrow"/>
            </a:rPr>
            <a:pPr algn="l"/>
            <a:t>167041</a:t>
          </a:fld>
          <a:endParaRPr lang="en-IN" sz="1400" b="1">
            <a:solidFill>
              <a:schemeClr val="bg1"/>
            </a:solidFill>
          </a:endParaRPr>
        </a:p>
      </xdr:txBody>
    </xdr:sp>
    <xdr:clientData/>
  </xdr:twoCellAnchor>
  <xdr:twoCellAnchor>
    <xdr:from>
      <xdr:col>8</xdr:col>
      <xdr:colOff>430530</xdr:colOff>
      <xdr:row>20</xdr:row>
      <xdr:rowOff>99840</xdr:rowOff>
    </xdr:from>
    <xdr:to>
      <xdr:col>10</xdr:col>
      <xdr:colOff>582930</xdr:colOff>
      <xdr:row>21</xdr:row>
      <xdr:rowOff>141360</xdr:rowOff>
    </xdr:to>
    <xdr:sp macro="" textlink="">
      <xdr:nvSpPr>
        <xdr:cNvPr id="113" name="TextBox 112">
          <a:extLst>
            <a:ext uri="{FF2B5EF4-FFF2-40B4-BE49-F238E27FC236}">
              <a16:creationId xmlns:a16="http://schemas.microsoft.com/office/drawing/2014/main" id="{A5A05528-76EC-4C10-98FE-FBF3BF5926F1}"/>
            </a:ext>
          </a:extLst>
        </xdr:cNvPr>
        <xdr:cNvSpPr txBox="1"/>
      </xdr:nvSpPr>
      <xdr:spPr>
        <a:xfrm>
          <a:off x="4697730" y="4519440"/>
          <a:ext cx="1371600" cy="26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40000"/>
                  <a:lumOff val="60000"/>
                </a:schemeClr>
              </a:solidFill>
            </a:rPr>
            <a:t>Salaries</a:t>
          </a:r>
          <a:r>
            <a:rPr lang="en-IN" sz="1100" b="1">
              <a:solidFill>
                <a:schemeClr val="bg1"/>
              </a:solidFill>
            </a:rPr>
            <a:t> </a:t>
          </a:r>
        </a:p>
      </xdr:txBody>
    </xdr:sp>
    <xdr:clientData/>
  </xdr:twoCellAnchor>
  <xdr:twoCellAnchor>
    <xdr:from>
      <xdr:col>8</xdr:col>
      <xdr:colOff>384810</xdr:colOff>
      <xdr:row>21</xdr:row>
      <xdr:rowOff>107460</xdr:rowOff>
    </xdr:from>
    <xdr:to>
      <xdr:col>11</xdr:col>
      <xdr:colOff>419100</xdr:colOff>
      <xdr:row>22</xdr:row>
      <xdr:rowOff>148980</xdr:rowOff>
    </xdr:to>
    <xdr:sp macro="" textlink="">
      <xdr:nvSpPr>
        <xdr:cNvPr id="114" name="TextBox 113">
          <a:extLst>
            <a:ext uri="{FF2B5EF4-FFF2-40B4-BE49-F238E27FC236}">
              <a16:creationId xmlns:a16="http://schemas.microsoft.com/office/drawing/2014/main" id="{ECFD6264-C08F-4F0A-B952-8373AD82E186}"/>
            </a:ext>
          </a:extLst>
        </xdr:cNvPr>
        <xdr:cNvSpPr txBox="1"/>
      </xdr:nvSpPr>
      <xdr:spPr>
        <a:xfrm>
          <a:off x="4652010" y="4748040"/>
          <a:ext cx="1863090" cy="26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50000"/>
                </a:schemeClr>
              </a:solidFill>
            </a:rPr>
            <a:t>Salary</a:t>
          </a:r>
          <a:r>
            <a:rPr lang="en-IN" sz="1100" b="1" baseline="0">
              <a:solidFill>
                <a:schemeClr val="bg2">
                  <a:lumMod val="50000"/>
                </a:schemeClr>
              </a:solidFill>
            </a:rPr>
            <a:t> Amount by Job Titels</a:t>
          </a:r>
          <a:endParaRPr lang="en-IN" sz="1100" b="1">
            <a:solidFill>
              <a:schemeClr val="bg2">
                <a:lumMod val="50000"/>
              </a:schemeClr>
            </a:solidFill>
          </a:endParaRPr>
        </a:p>
      </xdr:txBody>
    </xdr:sp>
    <xdr:clientData/>
  </xdr:twoCellAnchor>
  <xdr:twoCellAnchor>
    <xdr:from>
      <xdr:col>12</xdr:col>
      <xdr:colOff>396240</xdr:colOff>
      <xdr:row>19</xdr:row>
      <xdr:rowOff>22860</xdr:rowOff>
    </xdr:from>
    <xdr:to>
      <xdr:col>16</xdr:col>
      <xdr:colOff>396240</xdr:colOff>
      <xdr:row>20</xdr:row>
      <xdr:rowOff>79620</xdr:rowOff>
    </xdr:to>
    <xdr:sp macro="" textlink="">
      <xdr:nvSpPr>
        <xdr:cNvPr id="118" name="TextBox 117">
          <a:extLst>
            <a:ext uri="{FF2B5EF4-FFF2-40B4-BE49-F238E27FC236}">
              <a16:creationId xmlns:a16="http://schemas.microsoft.com/office/drawing/2014/main" id="{79A7D356-2565-44D2-AE4E-E58CA7612B54}"/>
            </a:ext>
          </a:extLst>
        </xdr:cNvPr>
        <xdr:cNvSpPr txBox="1"/>
      </xdr:nvSpPr>
      <xdr:spPr>
        <a:xfrm>
          <a:off x="7101840" y="4221480"/>
          <a:ext cx="2438400" cy="277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40000"/>
                  <a:lumOff val="60000"/>
                </a:schemeClr>
              </a:solidFill>
            </a:rPr>
            <a:t>Employements</a:t>
          </a:r>
          <a:r>
            <a:rPr lang="en-IN" sz="1200" b="1" baseline="0">
              <a:solidFill>
                <a:schemeClr val="accent2">
                  <a:lumMod val="40000"/>
                  <a:lumOff val="60000"/>
                </a:schemeClr>
              </a:solidFill>
            </a:rPr>
            <a:t> Status BreackDown</a:t>
          </a:r>
          <a:endParaRPr lang="en-IN" sz="1100" b="1">
            <a:solidFill>
              <a:schemeClr val="bg1"/>
            </a:solidFill>
          </a:endParaRPr>
        </a:p>
      </xdr:txBody>
    </xdr:sp>
    <xdr:clientData/>
  </xdr:twoCellAnchor>
  <xdr:twoCellAnchor>
    <xdr:from>
      <xdr:col>12</xdr:col>
      <xdr:colOff>236220</xdr:colOff>
      <xdr:row>20</xdr:row>
      <xdr:rowOff>213360</xdr:rowOff>
    </xdr:from>
    <xdr:to>
      <xdr:col>14</xdr:col>
      <xdr:colOff>480060</xdr:colOff>
      <xdr:row>26</xdr:row>
      <xdr:rowOff>99060</xdr:rowOff>
    </xdr:to>
    <xdr:graphicFrame macro="">
      <xdr:nvGraphicFramePr>
        <xdr:cNvPr id="119" name="Chart 118">
          <a:extLst>
            <a:ext uri="{FF2B5EF4-FFF2-40B4-BE49-F238E27FC236}">
              <a16:creationId xmlns:a16="http://schemas.microsoft.com/office/drawing/2014/main" id="{248A6D52-9858-48FA-B111-748B09200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464820</xdr:colOff>
      <xdr:row>22</xdr:row>
      <xdr:rowOff>30480</xdr:rowOff>
    </xdr:from>
    <xdr:to>
      <xdr:col>15</xdr:col>
      <xdr:colOff>594360</xdr:colOff>
      <xdr:row>22</xdr:row>
      <xdr:rowOff>152400</xdr:rowOff>
    </xdr:to>
    <xdr:sp macro="" textlink="">
      <xdr:nvSpPr>
        <xdr:cNvPr id="120" name="Flowchart: Connector 119">
          <a:extLst>
            <a:ext uri="{FF2B5EF4-FFF2-40B4-BE49-F238E27FC236}">
              <a16:creationId xmlns:a16="http://schemas.microsoft.com/office/drawing/2014/main" id="{C6CEF5E2-E801-28EE-D2E1-CD641E6160BE}"/>
            </a:ext>
          </a:extLst>
        </xdr:cNvPr>
        <xdr:cNvSpPr/>
      </xdr:nvSpPr>
      <xdr:spPr>
        <a:xfrm>
          <a:off x="8999220" y="4892040"/>
          <a:ext cx="129540" cy="121920"/>
        </a:xfrm>
        <a:prstGeom prst="flowChartConnector">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45720</xdr:colOff>
      <xdr:row>26</xdr:row>
      <xdr:rowOff>167640</xdr:rowOff>
    </xdr:from>
    <xdr:to>
      <xdr:col>14</xdr:col>
      <xdr:colOff>175260</xdr:colOff>
      <xdr:row>27</xdr:row>
      <xdr:rowOff>68580</xdr:rowOff>
    </xdr:to>
    <xdr:sp macro="" textlink="">
      <xdr:nvSpPr>
        <xdr:cNvPr id="121" name="Flowchart: Connector 120">
          <a:extLst>
            <a:ext uri="{FF2B5EF4-FFF2-40B4-BE49-F238E27FC236}">
              <a16:creationId xmlns:a16="http://schemas.microsoft.com/office/drawing/2014/main" id="{B5F38A9F-F010-D281-D8A5-AF9D14221567}"/>
            </a:ext>
          </a:extLst>
        </xdr:cNvPr>
        <xdr:cNvSpPr/>
      </xdr:nvSpPr>
      <xdr:spPr>
        <a:xfrm>
          <a:off x="7970520" y="5913120"/>
          <a:ext cx="129540" cy="121920"/>
        </a:xfrm>
        <a:prstGeom prst="flowChartConnector">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495300</xdr:colOff>
      <xdr:row>26</xdr:row>
      <xdr:rowOff>190500</xdr:rowOff>
    </xdr:from>
    <xdr:to>
      <xdr:col>16</xdr:col>
      <xdr:colOff>15240</xdr:colOff>
      <xdr:row>27</xdr:row>
      <xdr:rowOff>91440</xdr:rowOff>
    </xdr:to>
    <xdr:sp macro="" textlink="">
      <xdr:nvSpPr>
        <xdr:cNvPr id="122" name="Flowchart: Connector 121">
          <a:extLst>
            <a:ext uri="{FF2B5EF4-FFF2-40B4-BE49-F238E27FC236}">
              <a16:creationId xmlns:a16="http://schemas.microsoft.com/office/drawing/2014/main" id="{258D4058-6DAE-C310-A482-66C892453E1D}"/>
            </a:ext>
          </a:extLst>
        </xdr:cNvPr>
        <xdr:cNvSpPr/>
      </xdr:nvSpPr>
      <xdr:spPr>
        <a:xfrm>
          <a:off x="9029700" y="5935980"/>
          <a:ext cx="129540" cy="121920"/>
        </a:xfrm>
        <a:prstGeom prst="flowChartConnector">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495300</xdr:colOff>
      <xdr:row>23</xdr:row>
      <xdr:rowOff>190500</xdr:rowOff>
    </xdr:from>
    <xdr:to>
      <xdr:col>8</xdr:col>
      <xdr:colOff>213360</xdr:colOff>
      <xdr:row>30</xdr:row>
      <xdr:rowOff>190500</xdr:rowOff>
    </xdr:to>
    <xdr:graphicFrame macro="">
      <xdr:nvGraphicFramePr>
        <xdr:cNvPr id="123" name="Chart 122">
          <a:extLst>
            <a:ext uri="{FF2B5EF4-FFF2-40B4-BE49-F238E27FC236}">
              <a16:creationId xmlns:a16="http://schemas.microsoft.com/office/drawing/2014/main" id="{F10FAD89-E7BC-4A4F-8720-039DD0FD6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426720</xdr:colOff>
      <xdr:row>21</xdr:row>
      <xdr:rowOff>45720</xdr:rowOff>
    </xdr:from>
    <xdr:to>
      <xdr:col>8</xdr:col>
      <xdr:colOff>213360</xdr:colOff>
      <xdr:row>23</xdr:row>
      <xdr:rowOff>38100</xdr:rowOff>
    </xdr:to>
    <xdr:sp macro="" textlink="">
      <xdr:nvSpPr>
        <xdr:cNvPr id="126" name="TextBox 125">
          <a:extLst>
            <a:ext uri="{FF2B5EF4-FFF2-40B4-BE49-F238E27FC236}">
              <a16:creationId xmlns:a16="http://schemas.microsoft.com/office/drawing/2014/main" id="{D8B36681-0B6B-6274-AB96-8B4468E2C70A}"/>
            </a:ext>
          </a:extLst>
        </xdr:cNvPr>
        <xdr:cNvSpPr txBox="1"/>
      </xdr:nvSpPr>
      <xdr:spPr>
        <a:xfrm>
          <a:off x="2255520" y="4686300"/>
          <a:ext cx="22250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50000"/>
                </a:schemeClr>
              </a:solidFill>
            </a:rPr>
            <a:t>No</a:t>
          </a:r>
          <a:r>
            <a:rPr lang="en-IN" sz="1100" b="1" baseline="0">
              <a:solidFill>
                <a:schemeClr val="bg2">
                  <a:lumMod val="50000"/>
                </a:schemeClr>
              </a:solidFill>
            </a:rPr>
            <a:t> of Employees according to age group and gender</a:t>
          </a:r>
          <a:endParaRPr lang="en-IN" sz="1100" b="1">
            <a:solidFill>
              <a:schemeClr val="bg2">
                <a:lumMod val="50000"/>
              </a:schemeClr>
            </a:solidFill>
          </a:endParaRPr>
        </a:p>
      </xdr:txBody>
    </xdr:sp>
    <xdr:clientData/>
  </xdr:twoCellAnchor>
  <xdr:twoCellAnchor editAs="oneCell">
    <xdr:from>
      <xdr:col>4</xdr:col>
      <xdr:colOff>441960</xdr:colOff>
      <xdr:row>20</xdr:row>
      <xdr:rowOff>61740</xdr:rowOff>
    </xdr:from>
    <xdr:to>
      <xdr:col>5</xdr:col>
      <xdr:colOff>600523</xdr:colOff>
      <xdr:row>21</xdr:row>
      <xdr:rowOff>139490</xdr:rowOff>
    </xdr:to>
    <xdr:pic>
      <xdr:nvPicPr>
        <xdr:cNvPr id="137" name="Picture 136">
          <a:extLst>
            <a:ext uri="{FF2B5EF4-FFF2-40B4-BE49-F238E27FC236}">
              <a16:creationId xmlns:a16="http://schemas.microsoft.com/office/drawing/2014/main" id="{DA9A97B4-24B9-0382-08BC-92EF405670F1}"/>
            </a:ext>
          </a:extLst>
        </xdr:cNvPr>
        <xdr:cNvPicPr>
          <a:picLocks noChangeAspect="1"/>
        </xdr:cNvPicPr>
      </xdr:nvPicPr>
      <xdr:blipFill>
        <a:blip xmlns:r="http://schemas.openxmlformats.org/officeDocument/2006/relationships" r:embed="rId3"/>
        <a:stretch>
          <a:fillRect/>
        </a:stretch>
      </xdr:blipFill>
      <xdr:spPr>
        <a:xfrm>
          <a:off x="2270760" y="4481340"/>
          <a:ext cx="768163" cy="298730"/>
        </a:xfrm>
        <a:prstGeom prst="rect">
          <a:avLst/>
        </a:prstGeom>
      </xdr:spPr>
    </xdr:pic>
    <xdr:clientData/>
  </xdr:twoCellAnchor>
  <xdr:twoCellAnchor>
    <xdr:from>
      <xdr:col>7</xdr:col>
      <xdr:colOff>266700</xdr:colOff>
      <xdr:row>22</xdr:row>
      <xdr:rowOff>182880</xdr:rowOff>
    </xdr:from>
    <xdr:to>
      <xdr:col>8</xdr:col>
      <xdr:colOff>266700</xdr:colOff>
      <xdr:row>23</xdr:row>
      <xdr:rowOff>205740</xdr:rowOff>
    </xdr:to>
    <xdr:sp macro="" textlink="">
      <xdr:nvSpPr>
        <xdr:cNvPr id="9" name="TextBox 8">
          <a:extLst>
            <a:ext uri="{FF2B5EF4-FFF2-40B4-BE49-F238E27FC236}">
              <a16:creationId xmlns:a16="http://schemas.microsoft.com/office/drawing/2014/main" id="{05DAAB7E-AC44-FE60-8B92-ADA8D136A3D9}"/>
            </a:ext>
          </a:extLst>
        </xdr:cNvPr>
        <xdr:cNvSpPr txBox="1"/>
      </xdr:nvSpPr>
      <xdr:spPr>
        <a:xfrm>
          <a:off x="3924300" y="5044440"/>
          <a:ext cx="609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n>
                <a:solidFill>
                  <a:schemeClr val="bg1"/>
                </a:solidFill>
              </a:ln>
            </a:rPr>
            <a:t>Males</a:t>
          </a:r>
        </a:p>
      </xdr:txBody>
    </xdr:sp>
    <xdr:clientData/>
  </xdr:twoCellAnchor>
  <xdr:twoCellAnchor>
    <xdr:from>
      <xdr:col>5</xdr:col>
      <xdr:colOff>594360</xdr:colOff>
      <xdr:row>22</xdr:row>
      <xdr:rowOff>182880</xdr:rowOff>
    </xdr:from>
    <xdr:to>
      <xdr:col>7</xdr:col>
      <xdr:colOff>22860</xdr:colOff>
      <xdr:row>23</xdr:row>
      <xdr:rowOff>175260</xdr:rowOff>
    </xdr:to>
    <xdr:sp macro="" textlink="">
      <xdr:nvSpPr>
        <xdr:cNvPr id="10" name="TextBox 9">
          <a:extLst>
            <a:ext uri="{FF2B5EF4-FFF2-40B4-BE49-F238E27FC236}">
              <a16:creationId xmlns:a16="http://schemas.microsoft.com/office/drawing/2014/main" id="{13D90FBE-619B-B50B-502D-B52107303AA4}"/>
            </a:ext>
          </a:extLst>
        </xdr:cNvPr>
        <xdr:cNvSpPr txBox="1"/>
      </xdr:nvSpPr>
      <xdr:spPr>
        <a:xfrm>
          <a:off x="3032760" y="5044440"/>
          <a:ext cx="6477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solidFill>
                  <a:schemeClr val="bg1"/>
                </a:solidFill>
              </a:ln>
              <a:solidFill>
                <a:schemeClr val="bg1"/>
              </a:solidFill>
            </a:rPr>
            <a:t>Female</a:t>
          </a:r>
        </a:p>
      </xdr:txBody>
    </xdr:sp>
    <xdr:clientData/>
  </xdr:twoCellAnchor>
  <xdr:twoCellAnchor>
    <xdr:from>
      <xdr:col>7</xdr:col>
      <xdr:colOff>152400</xdr:colOff>
      <xdr:row>23</xdr:row>
      <xdr:rowOff>30480</xdr:rowOff>
    </xdr:from>
    <xdr:to>
      <xdr:col>7</xdr:col>
      <xdr:colOff>259080</xdr:colOff>
      <xdr:row>23</xdr:row>
      <xdr:rowOff>137160</xdr:rowOff>
    </xdr:to>
    <xdr:sp macro="" textlink="">
      <xdr:nvSpPr>
        <xdr:cNvPr id="11" name="Flowchart: Connector 10">
          <a:extLst>
            <a:ext uri="{FF2B5EF4-FFF2-40B4-BE49-F238E27FC236}">
              <a16:creationId xmlns:a16="http://schemas.microsoft.com/office/drawing/2014/main" id="{986C5631-48BD-5BD9-59E1-57B3A97250D0}"/>
            </a:ext>
          </a:extLst>
        </xdr:cNvPr>
        <xdr:cNvSpPr/>
      </xdr:nvSpPr>
      <xdr:spPr>
        <a:xfrm>
          <a:off x="3810000" y="5113020"/>
          <a:ext cx="106680" cy="106680"/>
        </a:xfrm>
        <a:prstGeom prst="flowChartConnector">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487680</xdr:colOff>
      <xdr:row>23</xdr:row>
      <xdr:rowOff>53340</xdr:rowOff>
    </xdr:from>
    <xdr:to>
      <xdr:col>5</xdr:col>
      <xdr:colOff>594360</xdr:colOff>
      <xdr:row>23</xdr:row>
      <xdr:rowOff>160020</xdr:rowOff>
    </xdr:to>
    <xdr:sp macro="" textlink="">
      <xdr:nvSpPr>
        <xdr:cNvPr id="12" name="Flowchart: Connector 11">
          <a:extLst>
            <a:ext uri="{FF2B5EF4-FFF2-40B4-BE49-F238E27FC236}">
              <a16:creationId xmlns:a16="http://schemas.microsoft.com/office/drawing/2014/main" id="{A1E98C85-9084-9178-6DFD-D4C1FB0A7B06}"/>
            </a:ext>
          </a:extLst>
        </xdr:cNvPr>
        <xdr:cNvSpPr/>
      </xdr:nvSpPr>
      <xdr:spPr>
        <a:xfrm>
          <a:off x="2926080" y="5135880"/>
          <a:ext cx="106680" cy="106680"/>
        </a:xfrm>
        <a:prstGeom prst="flowChartConnector">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137160</xdr:colOff>
      <xdr:row>25</xdr:row>
      <xdr:rowOff>38100</xdr:rowOff>
    </xdr:from>
    <xdr:to>
      <xdr:col>3</xdr:col>
      <xdr:colOff>403860</xdr:colOff>
      <xdr:row>27</xdr:row>
      <xdr:rowOff>172140</xdr:rowOff>
    </xdr:to>
    <xdr:graphicFrame macro="">
      <xdr:nvGraphicFramePr>
        <xdr:cNvPr id="17" name="Chart 16">
          <a:extLst>
            <a:ext uri="{FF2B5EF4-FFF2-40B4-BE49-F238E27FC236}">
              <a16:creationId xmlns:a16="http://schemas.microsoft.com/office/drawing/2014/main" id="{FD89AD48-E83B-436A-AD8A-8B043F6EA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152400</xdr:colOff>
      <xdr:row>26</xdr:row>
      <xdr:rowOff>198120</xdr:rowOff>
    </xdr:from>
    <xdr:to>
      <xdr:col>4</xdr:col>
      <xdr:colOff>160020</xdr:colOff>
      <xdr:row>29</xdr:row>
      <xdr:rowOff>111180</xdr:rowOff>
    </xdr:to>
    <xdr:graphicFrame macro="">
      <xdr:nvGraphicFramePr>
        <xdr:cNvPr id="25" name="Chart 24">
          <a:extLst>
            <a:ext uri="{FF2B5EF4-FFF2-40B4-BE49-F238E27FC236}">
              <a16:creationId xmlns:a16="http://schemas.microsoft.com/office/drawing/2014/main" id="{75E464C8-3EBF-48DF-8A82-AD9219C1F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129541</xdr:colOff>
      <xdr:row>28</xdr:row>
      <xdr:rowOff>182880</xdr:rowOff>
    </xdr:from>
    <xdr:to>
      <xdr:col>4</xdr:col>
      <xdr:colOff>198121</xdr:colOff>
      <xdr:row>31</xdr:row>
      <xdr:rowOff>19740</xdr:rowOff>
    </xdr:to>
    <xdr:graphicFrame macro="">
      <xdr:nvGraphicFramePr>
        <xdr:cNvPr id="27" name="Chart 26">
          <a:extLst>
            <a:ext uri="{FF2B5EF4-FFF2-40B4-BE49-F238E27FC236}">
              <a16:creationId xmlns:a16="http://schemas.microsoft.com/office/drawing/2014/main" id="{AED69916-9789-4A5B-BB6E-AF9F828BA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175260</xdr:colOff>
      <xdr:row>24</xdr:row>
      <xdr:rowOff>190500</xdr:rowOff>
    </xdr:from>
    <xdr:to>
      <xdr:col>3</xdr:col>
      <xdr:colOff>99060</xdr:colOff>
      <xdr:row>26</xdr:row>
      <xdr:rowOff>15240</xdr:rowOff>
    </xdr:to>
    <xdr:sp macro="" textlink="">
      <xdr:nvSpPr>
        <xdr:cNvPr id="41" name="TextBox 40">
          <a:extLst>
            <a:ext uri="{FF2B5EF4-FFF2-40B4-BE49-F238E27FC236}">
              <a16:creationId xmlns:a16="http://schemas.microsoft.com/office/drawing/2014/main" id="{7A397A18-44F6-7E6C-4A77-4EA9A3536828}"/>
            </a:ext>
          </a:extLst>
        </xdr:cNvPr>
        <xdr:cNvSpPr txBox="1"/>
      </xdr:nvSpPr>
      <xdr:spPr>
        <a:xfrm>
          <a:off x="175260" y="5494020"/>
          <a:ext cx="1143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Branch</a:t>
          </a:r>
          <a:r>
            <a:rPr lang="en-IN" sz="1100">
              <a:solidFill>
                <a:schemeClr val="bg1"/>
              </a:solidFill>
            </a:rPr>
            <a:t> </a:t>
          </a:r>
          <a:r>
            <a:rPr lang="en-IN" sz="1200">
              <a:solidFill>
                <a:schemeClr val="bg1"/>
              </a:solidFill>
            </a:rPr>
            <a:t>Office</a:t>
          </a:r>
          <a:endParaRPr lang="en-IN" sz="1100">
            <a:solidFill>
              <a:schemeClr val="bg1"/>
            </a:solidFill>
          </a:endParaRPr>
        </a:p>
      </xdr:txBody>
    </xdr:sp>
    <xdr:clientData/>
  </xdr:twoCellAnchor>
  <xdr:twoCellAnchor>
    <xdr:from>
      <xdr:col>1</xdr:col>
      <xdr:colOff>182880</xdr:colOff>
      <xdr:row>26</xdr:row>
      <xdr:rowOff>175260</xdr:rowOff>
    </xdr:from>
    <xdr:to>
      <xdr:col>3</xdr:col>
      <xdr:colOff>297180</xdr:colOff>
      <xdr:row>27</xdr:row>
      <xdr:rowOff>175260</xdr:rowOff>
    </xdr:to>
    <xdr:sp macro="" textlink="">
      <xdr:nvSpPr>
        <xdr:cNvPr id="42" name="TextBox 41">
          <a:extLst>
            <a:ext uri="{FF2B5EF4-FFF2-40B4-BE49-F238E27FC236}">
              <a16:creationId xmlns:a16="http://schemas.microsoft.com/office/drawing/2014/main" id="{73DC224F-6CDC-C64A-9FE3-002B39838961}"/>
            </a:ext>
          </a:extLst>
        </xdr:cNvPr>
        <xdr:cNvSpPr txBox="1"/>
      </xdr:nvSpPr>
      <xdr:spPr>
        <a:xfrm>
          <a:off x="182880" y="5920740"/>
          <a:ext cx="13335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Head Office</a:t>
          </a:r>
        </a:p>
      </xdr:txBody>
    </xdr:sp>
    <xdr:clientData/>
  </xdr:twoCellAnchor>
  <xdr:twoCellAnchor>
    <xdr:from>
      <xdr:col>1</xdr:col>
      <xdr:colOff>190500</xdr:colOff>
      <xdr:row>28</xdr:row>
      <xdr:rowOff>114300</xdr:rowOff>
    </xdr:from>
    <xdr:to>
      <xdr:col>2</xdr:col>
      <xdr:colOff>594360</xdr:colOff>
      <xdr:row>29</xdr:row>
      <xdr:rowOff>114300</xdr:rowOff>
    </xdr:to>
    <xdr:sp macro="" textlink="">
      <xdr:nvSpPr>
        <xdr:cNvPr id="43" name="TextBox 42">
          <a:extLst>
            <a:ext uri="{FF2B5EF4-FFF2-40B4-BE49-F238E27FC236}">
              <a16:creationId xmlns:a16="http://schemas.microsoft.com/office/drawing/2014/main" id="{0852D6BA-E4D9-DE7C-86F5-416B9A7FC86F}"/>
            </a:ext>
          </a:extLst>
        </xdr:cNvPr>
        <xdr:cNvSpPr txBox="1"/>
      </xdr:nvSpPr>
      <xdr:spPr>
        <a:xfrm>
          <a:off x="190500" y="6301740"/>
          <a:ext cx="10134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Remote</a:t>
          </a:r>
        </a:p>
      </xdr:txBody>
    </xdr:sp>
    <xdr:clientData/>
  </xdr:twoCellAnchor>
  <xdr:twoCellAnchor>
    <xdr:from>
      <xdr:col>3</xdr:col>
      <xdr:colOff>266700</xdr:colOff>
      <xdr:row>25</xdr:row>
      <xdr:rowOff>175260</xdr:rowOff>
    </xdr:from>
    <xdr:to>
      <xdr:col>4</xdr:col>
      <xdr:colOff>121920</xdr:colOff>
      <xdr:row>26</xdr:row>
      <xdr:rowOff>200760</xdr:rowOff>
    </xdr:to>
    <xdr:sp macro="" textlink="'Pivot Table'!F40">
      <xdr:nvSpPr>
        <xdr:cNvPr id="44" name="TextBox 43">
          <a:extLst>
            <a:ext uri="{FF2B5EF4-FFF2-40B4-BE49-F238E27FC236}">
              <a16:creationId xmlns:a16="http://schemas.microsoft.com/office/drawing/2014/main" id="{B3C793DA-9722-4750-BAC8-2B88F7E6A472}"/>
            </a:ext>
          </a:extLst>
        </xdr:cNvPr>
        <xdr:cNvSpPr txBox="1"/>
      </xdr:nvSpPr>
      <xdr:spPr>
        <a:xfrm>
          <a:off x="1485900" y="5699760"/>
          <a:ext cx="464820" cy="246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A1E04D-0A14-4C6A-B430-DBB89E7623D8}" type="TxLink">
            <a:rPr lang="en-US" sz="1100" b="1" i="0" u="none" strike="noStrike">
              <a:solidFill>
                <a:schemeClr val="bg1"/>
              </a:solidFill>
              <a:latin typeface="Aptos Narrow"/>
            </a:rPr>
            <a:pPr/>
            <a:t>46%</a:t>
          </a:fld>
          <a:endParaRPr lang="en-IN" sz="1100">
            <a:solidFill>
              <a:schemeClr val="bg1"/>
            </a:solidFill>
          </a:endParaRPr>
        </a:p>
      </xdr:txBody>
    </xdr:sp>
    <xdr:clientData/>
  </xdr:twoCellAnchor>
  <xdr:twoCellAnchor>
    <xdr:from>
      <xdr:col>3</xdr:col>
      <xdr:colOff>194310</xdr:colOff>
      <xdr:row>27</xdr:row>
      <xdr:rowOff>175260</xdr:rowOff>
    </xdr:from>
    <xdr:to>
      <xdr:col>4</xdr:col>
      <xdr:colOff>45720</xdr:colOff>
      <xdr:row>28</xdr:row>
      <xdr:rowOff>172920</xdr:rowOff>
    </xdr:to>
    <xdr:sp macro="" textlink="'Pivot Table'!F41">
      <xdr:nvSpPr>
        <xdr:cNvPr id="46" name="TextBox 45">
          <a:extLst>
            <a:ext uri="{FF2B5EF4-FFF2-40B4-BE49-F238E27FC236}">
              <a16:creationId xmlns:a16="http://schemas.microsoft.com/office/drawing/2014/main" id="{E96E3D13-ECD2-461E-9B60-3DD7E844897F}"/>
            </a:ext>
          </a:extLst>
        </xdr:cNvPr>
        <xdr:cNvSpPr txBox="1"/>
      </xdr:nvSpPr>
      <xdr:spPr>
        <a:xfrm>
          <a:off x="1413510" y="6141720"/>
          <a:ext cx="461010" cy="21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6A619D-F119-4479-915E-91F034DE330C}" type="TxLink">
            <a:rPr lang="en-US" sz="1100" b="1" i="0" u="none" strike="noStrike">
              <a:solidFill>
                <a:schemeClr val="bg1"/>
              </a:solidFill>
              <a:latin typeface="Aptos Narrow"/>
            </a:rPr>
            <a:pPr/>
            <a:t>16%</a:t>
          </a:fld>
          <a:endParaRPr lang="en-IN" sz="1100">
            <a:solidFill>
              <a:schemeClr val="bg1"/>
            </a:solidFill>
          </a:endParaRPr>
        </a:p>
      </xdr:txBody>
    </xdr:sp>
    <xdr:clientData/>
  </xdr:twoCellAnchor>
  <xdr:twoCellAnchor>
    <xdr:from>
      <xdr:col>3</xdr:col>
      <xdr:colOff>220980</xdr:colOff>
      <xdr:row>29</xdr:row>
      <xdr:rowOff>83820</xdr:rowOff>
    </xdr:from>
    <xdr:to>
      <xdr:col>4</xdr:col>
      <xdr:colOff>45720</xdr:colOff>
      <xdr:row>30</xdr:row>
      <xdr:rowOff>109320</xdr:rowOff>
    </xdr:to>
    <xdr:sp macro="" textlink="'Pivot Table'!F42">
      <xdr:nvSpPr>
        <xdr:cNvPr id="47" name="TextBox 46">
          <a:extLst>
            <a:ext uri="{FF2B5EF4-FFF2-40B4-BE49-F238E27FC236}">
              <a16:creationId xmlns:a16="http://schemas.microsoft.com/office/drawing/2014/main" id="{9CF9477D-0AC5-4FAD-A6C0-CDE064F117F5}"/>
            </a:ext>
          </a:extLst>
        </xdr:cNvPr>
        <xdr:cNvSpPr txBox="1"/>
      </xdr:nvSpPr>
      <xdr:spPr>
        <a:xfrm>
          <a:off x="1440180" y="6492240"/>
          <a:ext cx="434340" cy="246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8CAC1A-D70C-44D9-BFFB-80024912292C}" type="TxLink">
            <a:rPr lang="en-US" sz="1100" b="1" i="0" u="none" strike="noStrike">
              <a:solidFill>
                <a:schemeClr val="bg1"/>
              </a:solidFill>
              <a:latin typeface="Aptos Narrow"/>
            </a:rPr>
            <a:pPr/>
            <a:t>38%</a:t>
          </a:fld>
          <a:endParaRPr lang="en-IN" sz="1100">
            <a:solidFill>
              <a:schemeClr val="bg1"/>
            </a:solidFill>
          </a:endParaRPr>
        </a:p>
      </xdr:txBody>
    </xdr:sp>
    <xdr:clientData/>
  </xdr:twoCellAnchor>
  <xdr:twoCellAnchor>
    <xdr:from>
      <xdr:col>1</xdr:col>
      <xdr:colOff>175260</xdr:colOff>
      <xdr:row>22</xdr:row>
      <xdr:rowOff>38100</xdr:rowOff>
    </xdr:from>
    <xdr:to>
      <xdr:col>3</xdr:col>
      <xdr:colOff>45720</xdr:colOff>
      <xdr:row>23</xdr:row>
      <xdr:rowOff>45720</xdr:rowOff>
    </xdr:to>
    <xdr:sp macro="" textlink="">
      <xdr:nvSpPr>
        <xdr:cNvPr id="48" name="TextBox 47">
          <a:extLst>
            <a:ext uri="{FF2B5EF4-FFF2-40B4-BE49-F238E27FC236}">
              <a16:creationId xmlns:a16="http://schemas.microsoft.com/office/drawing/2014/main" id="{C2628A8D-DB02-4791-6F4B-0709CDCD6572}"/>
            </a:ext>
          </a:extLst>
        </xdr:cNvPr>
        <xdr:cNvSpPr txBox="1"/>
      </xdr:nvSpPr>
      <xdr:spPr>
        <a:xfrm>
          <a:off x="175260" y="4899660"/>
          <a:ext cx="10896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40000"/>
                  <a:lumOff val="60000"/>
                </a:schemeClr>
              </a:solidFill>
            </a:rPr>
            <a:t>Work</a:t>
          </a:r>
          <a:r>
            <a:rPr lang="en-IN" sz="1200" b="1" baseline="0">
              <a:solidFill>
                <a:schemeClr val="accent2">
                  <a:lumMod val="40000"/>
                  <a:lumOff val="60000"/>
                </a:schemeClr>
              </a:solidFill>
            </a:rPr>
            <a:t> Location</a:t>
          </a:r>
          <a:endParaRPr lang="en-IN" sz="1200" b="1">
            <a:solidFill>
              <a:schemeClr val="accent2">
                <a:lumMod val="40000"/>
                <a:lumOff val="60000"/>
              </a:schemeClr>
            </a:solidFill>
          </a:endParaRPr>
        </a:p>
      </xdr:txBody>
    </xdr:sp>
    <xdr:clientData/>
  </xdr:twoCellAnchor>
  <xdr:twoCellAnchor>
    <xdr:from>
      <xdr:col>1</xdr:col>
      <xdr:colOff>137160</xdr:colOff>
      <xdr:row>23</xdr:row>
      <xdr:rowOff>68580</xdr:rowOff>
    </xdr:from>
    <xdr:to>
      <xdr:col>3</xdr:col>
      <xdr:colOff>594360</xdr:colOff>
      <xdr:row>24</xdr:row>
      <xdr:rowOff>152400</xdr:rowOff>
    </xdr:to>
    <xdr:sp macro="" textlink="">
      <xdr:nvSpPr>
        <xdr:cNvPr id="54" name="TextBox 53">
          <a:extLst>
            <a:ext uri="{FF2B5EF4-FFF2-40B4-BE49-F238E27FC236}">
              <a16:creationId xmlns:a16="http://schemas.microsoft.com/office/drawing/2014/main" id="{93FC04AC-F3BD-A376-9758-933B865DF906}"/>
            </a:ext>
          </a:extLst>
        </xdr:cNvPr>
        <xdr:cNvSpPr txBox="1"/>
      </xdr:nvSpPr>
      <xdr:spPr>
        <a:xfrm>
          <a:off x="137160" y="5151120"/>
          <a:ext cx="1676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bg2">
                  <a:lumMod val="50000"/>
                </a:schemeClr>
              </a:solidFill>
            </a:rPr>
            <a:t>Employees to Workplace</a:t>
          </a:r>
        </a:p>
      </xdr:txBody>
    </xdr:sp>
    <xdr:clientData/>
  </xdr:twoCellAnchor>
  <xdr:twoCellAnchor>
    <xdr:from>
      <xdr:col>1</xdr:col>
      <xdr:colOff>167640</xdr:colOff>
      <xdr:row>15</xdr:row>
      <xdr:rowOff>60960</xdr:rowOff>
    </xdr:from>
    <xdr:to>
      <xdr:col>3</xdr:col>
      <xdr:colOff>175260</xdr:colOff>
      <xdr:row>16</xdr:row>
      <xdr:rowOff>99060</xdr:rowOff>
    </xdr:to>
    <xdr:sp macro="" textlink="">
      <xdr:nvSpPr>
        <xdr:cNvPr id="55" name="TextBox 54">
          <a:extLst>
            <a:ext uri="{FF2B5EF4-FFF2-40B4-BE49-F238E27FC236}">
              <a16:creationId xmlns:a16="http://schemas.microsoft.com/office/drawing/2014/main" id="{64ADFA26-2222-B94A-2E2A-4BE8DBEA2C85}"/>
            </a:ext>
          </a:extLst>
        </xdr:cNvPr>
        <xdr:cNvSpPr txBox="1"/>
      </xdr:nvSpPr>
      <xdr:spPr>
        <a:xfrm>
          <a:off x="167640" y="3375660"/>
          <a:ext cx="12268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bg1"/>
              </a:solidFill>
            </a:rPr>
            <a:t>Communication</a:t>
          </a:r>
        </a:p>
      </xdr:txBody>
    </xdr:sp>
    <xdr:clientData/>
  </xdr:twoCellAnchor>
  <xdr:twoCellAnchor>
    <xdr:from>
      <xdr:col>1</xdr:col>
      <xdr:colOff>220980</xdr:colOff>
      <xdr:row>16</xdr:row>
      <xdr:rowOff>121920</xdr:rowOff>
    </xdr:from>
    <xdr:to>
      <xdr:col>3</xdr:col>
      <xdr:colOff>53340</xdr:colOff>
      <xdr:row>17</xdr:row>
      <xdr:rowOff>190500</xdr:rowOff>
    </xdr:to>
    <xdr:sp macro="" textlink="">
      <xdr:nvSpPr>
        <xdr:cNvPr id="56" name="TextBox 55">
          <a:extLst>
            <a:ext uri="{FF2B5EF4-FFF2-40B4-BE49-F238E27FC236}">
              <a16:creationId xmlns:a16="http://schemas.microsoft.com/office/drawing/2014/main" id="{2A6FDD62-5A25-3DB9-1A38-FA94E9D6D588}"/>
            </a:ext>
          </a:extLst>
        </xdr:cNvPr>
        <xdr:cNvSpPr txBox="1"/>
      </xdr:nvSpPr>
      <xdr:spPr>
        <a:xfrm>
          <a:off x="220980" y="3657600"/>
          <a:ext cx="10515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bg1"/>
              </a:solidFill>
            </a:rPr>
            <a:t>Design</a:t>
          </a:r>
        </a:p>
      </xdr:txBody>
    </xdr:sp>
    <xdr:clientData/>
  </xdr:twoCellAnchor>
  <xdr:twoCellAnchor>
    <xdr:from>
      <xdr:col>1</xdr:col>
      <xdr:colOff>213360</xdr:colOff>
      <xdr:row>17</xdr:row>
      <xdr:rowOff>167640</xdr:rowOff>
    </xdr:from>
    <xdr:to>
      <xdr:col>2</xdr:col>
      <xdr:colOff>533400</xdr:colOff>
      <xdr:row>18</xdr:row>
      <xdr:rowOff>205740</xdr:rowOff>
    </xdr:to>
    <xdr:sp macro="" textlink="">
      <xdr:nvSpPr>
        <xdr:cNvPr id="57" name="TextBox 56">
          <a:extLst>
            <a:ext uri="{FF2B5EF4-FFF2-40B4-BE49-F238E27FC236}">
              <a16:creationId xmlns:a16="http://schemas.microsoft.com/office/drawing/2014/main" id="{CF5A6AAD-C17E-605F-0AFD-F0211E6D1E92}"/>
            </a:ext>
          </a:extLst>
        </xdr:cNvPr>
        <xdr:cNvSpPr txBox="1"/>
      </xdr:nvSpPr>
      <xdr:spPr>
        <a:xfrm>
          <a:off x="213360" y="3924300"/>
          <a:ext cx="9296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bg1"/>
              </a:solidFill>
            </a:rPr>
            <a:t>Excel</a:t>
          </a:r>
        </a:p>
      </xdr:txBody>
    </xdr:sp>
    <xdr:clientData/>
  </xdr:twoCellAnchor>
  <xdr:twoCellAnchor>
    <xdr:from>
      <xdr:col>1</xdr:col>
      <xdr:colOff>205740</xdr:colOff>
      <xdr:row>18</xdr:row>
      <xdr:rowOff>182880</xdr:rowOff>
    </xdr:from>
    <xdr:to>
      <xdr:col>3</xdr:col>
      <xdr:colOff>152400</xdr:colOff>
      <xdr:row>19</xdr:row>
      <xdr:rowOff>205740</xdr:rowOff>
    </xdr:to>
    <xdr:sp macro="" textlink="">
      <xdr:nvSpPr>
        <xdr:cNvPr id="58" name="TextBox 57">
          <a:extLst>
            <a:ext uri="{FF2B5EF4-FFF2-40B4-BE49-F238E27FC236}">
              <a16:creationId xmlns:a16="http://schemas.microsoft.com/office/drawing/2014/main" id="{5B4A17B9-CFC0-7E08-5B54-547425910329}"/>
            </a:ext>
          </a:extLst>
        </xdr:cNvPr>
        <xdr:cNvSpPr txBox="1"/>
      </xdr:nvSpPr>
      <xdr:spPr>
        <a:xfrm>
          <a:off x="205740" y="4160520"/>
          <a:ext cx="11658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bg1"/>
              </a:solidFill>
            </a:rPr>
            <a:t>Management</a:t>
          </a:r>
        </a:p>
      </xdr:txBody>
    </xdr:sp>
    <xdr:clientData/>
  </xdr:twoCellAnchor>
  <xdr:twoCellAnchor>
    <xdr:from>
      <xdr:col>1</xdr:col>
      <xdr:colOff>236220</xdr:colOff>
      <xdr:row>19</xdr:row>
      <xdr:rowOff>213360</xdr:rowOff>
    </xdr:from>
    <xdr:to>
      <xdr:col>3</xdr:col>
      <xdr:colOff>137160</xdr:colOff>
      <xdr:row>20</xdr:row>
      <xdr:rowOff>213360</xdr:rowOff>
    </xdr:to>
    <xdr:sp macro="" textlink="">
      <xdr:nvSpPr>
        <xdr:cNvPr id="59" name="TextBox 58">
          <a:extLst>
            <a:ext uri="{FF2B5EF4-FFF2-40B4-BE49-F238E27FC236}">
              <a16:creationId xmlns:a16="http://schemas.microsoft.com/office/drawing/2014/main" id="{1BF3F0D2-2B58-EBD9-37EF-75DC9FACC04B}"/>
            </a:ext>
          </a:extLst>
        </xdr:cNvPr>
        <xdr:cNvSpPr txBox="1"/>
      </xdr:nvSpPr>
      <xdr:spPr>
        <a:xfrm>
          <a:off x="236220" y="4411980"/>
          <a:ext cx="11201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bg1"/>
              </a:solidFill>
            </a:rPr>
            <a:t>Python</a:t>
          </a:r>
        </a:p>
      </xdr:txBody>
    </xdr:sp>
    <xdr:clientData/>
  </xdr:twoCellAnchor>
  <xdr:twoCellAnchor>
    <xdr:from>
      <xdr:col>3</xdr:col>
      <xdr:colOff>358140</xdr:colOff>
      <xdr:row>15</xdr:row>
      <xdr:rowOff>30480</xdr:rowOff>
    </xdr:from>
    <xdr:to>
      <xdr:col>4</xdr:col>
      <xdr:colOff>205740</xdr:colOff>
      <xdr:row>16</xdr:row>
      <xdr:rowOff>91440</xdr:rowOff>
    </xdr:to>
    <xdr:sp macro="" textlink="'Pivot Table'!E49">
      <xdr:nvSpPr>
        <xdr:cNvPr id="60" name="TextBox 59">
          <a:extLst>
            <a:ext uri="{FF2B5EF4-FFF2-40B4-BE49-F238E27FC236}">
              <a16:creationId xmlns:a16="http://schemas.microsoft.com/office/drawing/2014/main" id="{EB8A5178-85D9-D8A5-F302-5B1A29E1C7B1}"/>
            </a:ext>
          </a:extLst>
        </xdr:cNvPr>
        <xdr:cNvSpPr txBox="1"/>
      </xdr:nvSpPr>
      <xdr:spPr>
        <a:xfrm>
          <a:off x="1577340" y="3345180"/>
          <a:ext cx="4572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AD9ABA-516B-4E2A-A54B-DDD081F0485C}" type="TxLink">
            <a:rPr lang="en-US" sz="1600" b="1" i="0" u="none" strike="noStrike">
              <a:solidFill>
                <a:schemeClr val="accent2">
                  <a:lumMod val="40000"/>
                  <a:lumOff val="60000"/>
                </a:schemeClr>
              </a:solidFill>
              <a:latin typeface="Aptos Narrow"/>
            </a:rPr>
            <a:pPr/>
            <a:t>12</a:t>
          </a:fld>
          <a:endParaRPr lang="en-IN" sz="1600" b="1">
            <a:solidFill>
              <a:schemeClr val="accent2">
                <a:lumMod val="40000"/>
                <a:lumOff val="60000"/>
              </a:schemeClr>
            </a:solidFill>
          </a:endParaRPr>
        </a:p>
      </xdr:txBody>
    </xdr:sp>
    <xdr:clientData/>
  </xdr:twoCellAnchor>
  <xdr:twoCellAnchor>
    <xdr:from>
      <xdr:col>3</xdr:col>
      <xdr:colOff>361950</xdr:colOff>
      <xdr:row>16</xdr:row>
      <xdr:rowOff>80010</xdr:rowOff>
    </xdr:from>
    <xdr:to>
      <xdr:col>4</xdr:col>
      <xdr:colOff>201930</xdr:colOff>
      <xdr:row>17</xdr:row>
      <xdr:rowOff>133350</xdr:rowOff>
    </xdr:to>
    <xdr:sp macro="" textlink="'Pivot Table'!E50">
      <xdr:nvSpPr>
        <xdr:cNvPr id="61" name="TextBox 60">
          <a:extLst>
            <a:ext uri="{FF2B5EF4-FFF2-40B4-BE49-F238E27FC236}">
              <a16:creationId xmlns:a16="http://schemas.microsoft.com/office/drawing/2014/main" id="{2C1AB2C1-206F-988E-A1F5-E5D05F8BF5A6}"/>
            </a:ext>
          </a:extLst>
        </xdr:cNvPr>
        <xdr:cNvSpPr txBox="1"/>
      </xdr:nvSpPr>
      <xdr:spPr>
        <a:xfrm>
          <a:off x="1581150" y="3615690"/>
          <a:ext cx="449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730ABA-4706-414C-8B3D-54A889B3DDC8}" type="TxLink">
            <a:rPr lang="en-US" sz="1600" b="1" i="0" u="none" strike="noStrike">
              <a:solidFill>
                <a:schemeClr val="accent2">
                  <a:lumMod val="40000"/>
                  <a:lumOff val="60000"/>
                </a:schemeClr>
              </a:solidFill>
              <a:latin typeface="Aptos Narrow"/>
            </a:rPr>
            <a:pPr/>
            <a:t>11</a:t>
          </a:fld>
          <a:endParaRPr lang="en-IN" sz="1600" b="1">
            <a:solidFill>
              <a:schemeClr val="accent2">
                <a:lumMod val="40000"/>
                <a:lumOff val="60000"/>
              </a:schemeClr>
            </a:solidFill>
          </a:endParaRPr>
        </a:p>
      </xdr:txBody>
    </xdr:sp>
    <xdr:clientData/>
  </xdr:twoCellAnchor>
  <xdr:twoCellAnchor>
    <xdr:from>
      <xdr:col>3</xdr:col>
      <xdr:colOff>403860</xdr:colOff>
      <xdr:row>17</xdr:row>
      <xdr:rowOff>121920</xdr:rowOff>
    </xdr:from>
    <xdr:to>
      <xdr:col>4</xdr:col>
      <xdr:colOff>160020</xdr:colOff>
      <xdr:row>18</xdr:row>
      <xdr:rowOff>190500</xdr:rowOff>
    </xdr:to>
    <xdr:sp macro="" textlink="'Pivot Table'!E51">
      <xdr:nvSpPr>
        <xdr:cNvPr id="62" name="TextBox 61">
          <a:extLst>
            <a:ext uri="{FF2B5EF4-FFF2-40B4-BE49-F238E27FC236}">
              <a16:creationId xmlns:a16="http://schemas.microsoft.com/office/drawing/2014/main" id="{B117DBC5-500A-A140-C38F-8EC62A83E231}"/>
            </a:ext>
          </a:extLst>
        </xdr:cNvPr>
        <xdr:cNvSpPr txBox="1"/>
      </xdr:nvSpPr>
      <xdr:spPr>
        <a:xfrm>
          <a:off x="1623060" y="3878580"/>
          <a:ext cx="3657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BD9FBE-5F94-4940-AF4B-0299214ECAE9}" type="TxLink">
            <a:rPr lang="en-US" sz="1600" b="1" i="0" u="none" strike="noStrike">
              <a:solidFill>
                <a:schemeClr val="accent2">
                  <a:lumMod val="40000"/>
                  <a:lumOff val="60000"/>
                </a:schemeClr>
              </a:solidFill>
              <a:latin typeface="Aptos Narrow"/>
            </a:rPr>
            <a:pPr/>
            <a:t>7</a:t>
          </a:fld>
          <a:endParaRPr lang="en-IN" sz="1600" b="1">
            <a:solidFill>
              <a:schemeClr val="accent2">
                <a:lumMod val="40000"/>
                <a:lumOff val="60000"/>
              </a:schemeClr>
            </a:solidFill>
          </a:endParaRPr>
        </a:p>
      </xdr:txBody>
    </xdr:sp>
    <xdr:clientData/>
  </xdr:twoCellAnchor>
  <xdr:twoCellAnchor>
    <xdr:from>
      <xdr:col>3</xdr:col>
      <xdr:colOff>346710</xdr:colOff>
      <xdr:row>18</xdr:row>
      <xdr:rowOff>156210</xdr:rowOff>
    </xdr:from>
    <xdr:to>
      <xdr:col>4</xdr:col>
      <xdr:colOff>171450</xdr:colOff>
      <xdr:row>19</xdr:row>
      <xdr:rowOff>186690</xdr:rowOff>
    </xdr:to>
    <xdr:sp macro="" textlink="'Pivot Table'!E52">
      <xdr:nvSpPr>
        <xdr:cNvPr id="63" name="TextBox 62">
          <a:extLst>
            <a:ext uri="{FF2B5EF4-FFF2-40B4-BE49-F238E27FC236}">
              <a16:creationId xmlns:a16="http://schemas.microsoft.com/office/drawing/2014/main" id="{C4CA8480-F6CC-A872-0A60-697B233F0424}"/>
            </a:ext>
          </a:extLst>
        </xdr:cNvPr>
        <xdr:cNvSpPr txBox="1"/>
      </xdr:nvSpPr>
      <xdr:spPr>
        <a:xfrm>
          <a:off x="1565910" y="4133850"/>
          <a:ext cx="434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DE4B73-2B1B-4F04-A915-715B0E48C98F}" type="TxLink">
            <a:rPr lang="en-US" sz="1600" b="1" i="0" u="none" strike="noStrike">
              <a:solidFill>
                <a:schemeClr val="accent2">
                  <a:lumMod val="40000"/>
                  <a:lumOff val="60000"/>
                </a:schemeClr>
              </a:solidFill>
              <a:latin typeface="Aptos Narrow"/>
            </a:rPr>
            <a:pPr/>
            <a:t>11</a:t>
          </a:fld>
          <a:endParaRPr lang="en-IN" sz="1600" b="1">
            <a:solidFill>
              <a:schemeClr val="accent2">
                <a:lumMod val="40000"/>
                <a:lumOff val="60000"/>
              </a:schemeClr>
            </a:solidFill>
          </a:endParaRPr>
        </a:p>
      </xdr:txBody>
    </xdr:sp>
    <xdr:clientData/>
  </xdr:twoCellAnchor>
  <xdr:twoCellAnchor>
    <xdr:from>
      <xdr:col>3</xdr:col>
      <xdr:colOff>407670</xdr:colOff>
      <xdr:row>19</xdr:row>
      <xdr:rowOff>198120</xdr:rowOff>
    </xdr:from>
    <xdr:to>
      <xdr:col>4</xdr:col>
      <xdr:colOff>156210</xdr:colOff>
      <xdr:row>21</xdr:row>
      <xdr:rowOff>60960</xdr:rowOff>
    </xdr:to>
    <xdr:sp macro="" textlink="'Pivot Table'!E53">
      <xdr:nvSpPr>
        <xdr:cNvPr id="64" name="TextBox 63">
          <a:extLst>
            <a:ext uri="{FF2B5EF4-FFF2-40B4-BE49-F238E27FC236}">
              <a16:creationId xmlns:a16="http://schemas.microsoft.com/office/drawing/2014/main" id="{0308CDCC-10E7-734C-242D-5B462ED4D437}"/>
            </a:ext>
          </a:extLst>
        </xdr:cNvPr>
        <xdr:cNvSpPr txBox="1"/>
      </xdr:nvSpPr>
      <xdr:spPr>
        <a:xfrm>
          <a:off x="1626870" y="4396740"/>
          <a:ext cx="3581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CFE35B-E3A2-4EE4-8036-CC3259DDB0B9}" type="TxLink">
            <a:rPr lang="en-US" sz="1600" b="1" i="0" u="none" strike="noStrike">
              <a:solidFill>
                <a:schemeClr val="accent2">
                  <a:lumMod val="40000"/>
                  <a:lumOff val="60000"/>
                </a:schemeClr>
              </a:solidFill>
              <a:latin typeface="Aptos Narrow"/>
            </a:rPr>
            <a:pPr/>
            <a:t>9</a:t>
          </a:fld>
          <a:endParaRPr lang="en-IN" sz="1600" b="1">
            <a:solidFill>
              <a:schemeClr val="accent2">
                <a:lumMod val="40000"/>
                <a:lumOff val="60000"/>
              </a:schemeClr>
            </a:solidFill>
          </a:endParaRPr>
        </a:p>
      </xdr:txBody>
    </xdr:sp>
    <xdr:clientData/>
  </xdr:twoCellAnchor>
  <xdr:twoCellAnchor>
    <xdr:from>
      <xdr:col>1</xdr:col>
      <xdr:colOff>289560</xdr:colOff>
      <xdr:row>12</xdr:row>
      <xdr:rowOff>99060</xdr:rowOff>
    </xdr:from>
    <xdr:to>
      <xdr:col>3</xdr:col>
      <xdr:colOff>175260</xdr:colOff>
      <xdr:row>14</xdr:row>
      <xdr:rowOff>190500</xdr:rowOff>
    </xdr:to>
    <xdr:sp macro="" textlink="">
      <xdr:nvSpPr>
        <xdr:cNvPr id="65" name="TextBox 64">
          <a:extLst>
            <a:ext uri="{FF2B5EF4-FFF2-40B4-BE49-F238E27FC236}">
              <a16:creationId xmlns:a16="http://schemas.microsoft.com/office/drawing/2014/main" id="{07614FB5-5577-FD1C-0087-834F28C8D8EB}"/>
            </a:ext>
          </a:extLst>
        </xdr:cNvPr>
        <xdr:cNvSpPr txBox="1"/>
      </xdr:nvSpPr>
      <xdr:spPr>
        <a:xfrm>
          <a:off x="289560" y="2750820"/>
          <a:ext cx="11049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40000"/>
                  <a:lumOff val="60000"/>
                </a:schemeClr>
              </a:solidFill>
            </a:rPr>
            <a:t>Skill </a:t>
          </a:r>
        </a:p>
        <a:p>
          <a:r>
            <a:rPr lang="en-IN" sz="1400" b="1">
              <a:solidFill>
                <a:schemeClr val="accent2">
                  <a:lumMod val="40000"/>
                  <a:lumOff val="60000"/>
                </a:schemeClr>
              </a:solidFill>
            </a:rPr>
            <a:t>BreakDown</a:t>
          </a:r>
        </a:p>
      </xdr:txBody>
    </xdr:sp>
    <xdr:clientData/>
  </xdr:twoCellAnchor>
  <xdr:twoCellAnchor editAs="oneCell">
    <xdr:from>
      <xdr:col>2</xdr:col>
      <xdr:colOff>76200</xdr:colOff>
      <xdr:row>8</xdr:row>
      <xdr:rowOff>70980</xdr:rowOff>
    </xdr:from>
    <xdr:to>
      <xdr:col>3</xdr:col>
      <xdr:colOff>396240</xdr:colOff>
      <xdr:row>12</xdr:row>
      <xdr:rowOff>116700</xdr:rowOff>
    </xdr:to>
    <xdr:pic>
      <xdr:nvPicPr>
        <xdr:cNvPr id="67" name="Graphic 66" descr="Podium with solid fill">
          <a:extLst>
            <a:ext uri="{FF2B5EF4-FFF2-40B4-BE49-F238E27FC236}">
              <a16:creationId xmlns:a16="http://schemas.microsoft.com/office/drawing/2014/main" id="{B4D4701E-E31F-C133-8693-CA03C6942D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838820"/>
          <a:ext cx="929640" cy="929640"/>
        </a:xfrm>
        <a:prstGeom prst="rect">
          <a:avLst/>
        </a:prstGeom>
      </xdr:spPr>
    </xdr:pic>
    <xdr:clientData/>
  </xdr:twoCellAnchor>
  <xdr:twoCellAnchor>
    <xdr:from>
      <xdr:col>4</xdr:col>
      <xdr:colOff>388620</xdr:colOff>
      <xdr:row>9</xdr:row>
      <xdr:rowOff>99060</xdr:rowOff>
    </xdr:from>
    <xdr:to>
      <xdr:col>5</xdr:col>
      <xdr:colOff>563880</xdr:colOff>
      <xdr:row>12</xdr:row>
      <xdr:rowOff>38100</xdr:rowOff>
    </xdr:to>
    <xdr:sp macro="" textlink="'Pivot Table'!G33">
      <xdr:nvSpPr>
        <xdr:cNvPr id="70" name="TextBox 69">
          <a:extLst>
            <a:ext uri="{FF2B5EF4-FFF2-40B4-BE49-F238E27FC236}">
              <a16:creationId xmlns:a16="http://schemas.microsoft.com/office/drawing/2014/main" id="{ABD550D6-53D0-F339-DDE2-525C84BDCBC7}"/>
            </a:ext>
          </a:extLst>
        </xdr:cNvPr>
        <xdr:cNvSpPr txBox="1"/>
      </xdr:nvSpPr>
      <xdr:spPr>
        <a:xfrm>
          <a:off x="2217420" y="2087880"/>
          <a:ext cx="78486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6550B2-0844-4F88-B534-1949C269A32C}" type="TxLink">
            <a:rPr lang="en-US" sz="4400" b="0" i="0" u="none" strike="noStrike">
              <a:solidFill>
                <a:schemeClr val="bg1"/>
              </a:solidFill>
              <a:latin typeface="Aptos Narrow"/>
            </a:rPr>
            <a:pPr/>
            <a:t>50</a:t>
          </a:fld>
          <a:endParaRPr lang="en-IN" sz="4400">
            <a:solidFill>
              <a:schemeClr val="bg1"/>
            </a:solidFill>
          </a:endParaRPr>
        </a:p>
      </xdr:txBody>
    </xdr:sp>
    <xdr:clientData/>
  </xdr:twoCellAnchor>
  <xdr:twoCellAnchor>
    <xdr:from>
      <xdr:col>4</xdr:col>
      <xdr:colOff>388620</xdr:colOff>
      <xdr:row>12</xdr:row>
      <xdr:rowOff>106680</xdr:rowOff>
    </xdr:from>
    <xdr:to>
      <xdr:col>6</xdr:col>
      <xdr:colOff>518160</xdr:colOff>
      <xdr:row>13</xdr:row>
      <xdr:rowOff>152400</xdr:rowOff>
    </xdr:to>
    <xdr:sp macro="" textlink="">
      <xdr:nvSpPr>
        <xdr:cNvPr id="71" name="TextBox 70">
          <a:extLst>
            <a:ext uri="{FF2B5EF4-FFF2-40B4-BE49-F238E27FC236}">
              <a16:creationId xmlns:a16="http://schemas.microsoft.com/office/drawing/2014/main" id="{B3488B28-C794-B8B1-BAF9-1334EC3FFE0F}"/>
            </a:ext>
          </a:extLst>
        </xdr:cNvPr>
        <xdr:cNvSpPr txBox="1"/>
      </xdr:nvSpPr>
      <xdr:spPr>
        <a:xfrm>
          <a:off x="2217420" y="2758440"/>
          <a:ext cx="13487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Total Employees</a:t>
          </a:r>
        </a:p>
      </xdr:txBody>
    </xdr:sp>
    <xdr:clientData/>
  </xdr:twoCellAnchor>
  <xdr:twoCellAnchor>
    <xdr:from>
      <xdr:col>4</xdr:col>
      <xdr:colOff>388620</xdr:colOff>
      <xdr:row>8</xdr:row>
      <xdr:rowOff>76200</xdr:rowOff>
    </xdr:from>
    <xdr:to>
      <xdr:col>7</xdr:col>
      <xdr:colOff>45720</xdr:colOff>
      <xdr:row>9</xdr:row>
      <xdr:rowOff>114300</xdr:rowOff>
    </xdr:to>
    <xdr:sp macro="" textlink="">
      <xdr:nvSpPr>
        <xdr:cNvPr id="72" name="TextBox 71">
          <a:extLst>
            <a:ext uri="{FF2B5EF4-FFF2-40B4-BE49-F238E27FC236}">
              <a16:creationId xmlns:a16="http://schemas.microsoft.com/office/drawing/2014/main" id="{8B4A969E-B910-B00E-5240-71A5FBC47130}"/>
            </a:ext>
          </a:extLst>
        </xdr:cNvPr>
        <xdr:cNvSpPr txBox="1"/>
      </xdr:nvSpPr>
      <xdr:spPr>
        <a:xfrm>
          <a:off x="2217420" y="1844040"/>
          <a:ext cx="14859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40000"/>
                  <a:lumOff val="60000"/>
                </a:schemeClr>
              </a:solidFill>
            </a:rPr>
            <a:t>Employees Number</a:t>
          </a:r>
        </a:p>
      </xdr:txBody>
    </xdr:sp>
    <xdr:clientData/>
  </xdr:twoCellAnchor>
  <xdr:twoCellAnchor editAs="oneCell">
    <xdr:from>
      <xdr:col>6</xdr:col>
      <xdr:colOff>411480</xdr:colOff>
      <xdr:row>8</xdr:row>
      <xdr:rowOff>190500</xdr:rowOff>
    </xdr:from>
    <xdr:to>
      <xdr:col>8</xdr:col>
      <xdr:colOff>106680</xdr:colOff>
      <xdr:row>13</xdr:row>
      <xdr:rowOff>0</xdr:rowOff>
    </xdr:to>
    <xdr:pic>
      <xdr:nvPicPr>
        <xdr:cNvPr id="29" name="Graphic 28" descr="Meeting with solid fill">
          <a:extLst>
            <a:ext uri="{FF2B5EF4-FFF2-40B4-BE49-F238E27FC236}">
              <a16:creationId xmlns:a16="http://schemas.microsoft.com/office/drawing/2014/main" id="{64D9E5ED-CD8B-39DF-7507-088D9BE5A7E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59480" y="1958340"/>
          <a:ext cx="914400" cy="914400"/>
        </a:xfrm>
        <a:prstGeom prst="rect">
          <a:avLst/>
        </a:prstGeom>
      </xdr:spPr>
    </xdr:pic>
    <xdr:clientData/>
  </xdr:twoCellAnchor>
  <xdr:twoCellAnchor>
    <xdr:from>
      <xdr:col>4</xdr:col>
      <xdr:colOff>563880</xdr:colOff>
      <xdr:row>14</xdr:row>
      <xdr:rowOff>68580</xdr:rowOff>
    </xdr:from>
    <xdr:to>
      <xdr:col>6</xdr:col>
      <xdr:colOff>15240</xdr:colOff>
      <xdr:row>15</xdr:row>
      <xdr:rowOff>83820</xdr:rowOff>
    </xdr:to>
    <xdr:sp macro="" textlink="">
      <xdr:nvSpPr>
        <xdr:cNvPr id="34" name="TextBox 33">
          <a:extLst>
            <a:ext uri="{FF2B5EF4-FFF2-40B4-BE49-F238E27FC236}">
              <a16:creationId xmlns:a16="http://schemas.microsoft.com/office/drawing/2014/main" id="{4EB3E3B1-9460-40F2-77AD-4311D50061E3}"/>
            </a:ext>
          </a:extLst>
        </xdr:cNvPr>
        <xdr:cNvSpPr txBox="1"/>
      </xdr:nvSpPr>
      <xdr:spPr>
        <a:xfrm>
          <a:off x="2392680" y="3162300"/>
          <a:ext cx="6705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lumMod val="40000"/>
                  <a:lumOff val="60000"/>
                </a:schemeClr>
              </a:solidFill>
            </a:rPr>
            <a:t>Males</a:t>
          </a:r>
        </a:p>
      </xdr:txBody>
    </xdr:sp>
    <xdr:clientData/>
  </xdr:twoCellAnchor>
  <xdr:twoCellAnchor>
    <xdr:from>
      <xdr:col>6</xdr:col>
      <xdr:colOff>434340</xdr:colOff>
      <xdr:row>14</xdr:row>
      <xdr:rowOff>76200</xdr:rowOff>
    </xdr:from>
    <xdr:to>
      <xdr:col>8</xdr:col>
      <xdr:colOff>53340</xdr:colOff>
      <xdr:row>15</xdr:row>
      <xdr:rowOff>60960</xdr:rowOff>
    </xdr:to>
    <xdr:sp macro="" textlink="">
      <xdr:nvSpPr>
        <xdr:cNvPr id="35" name="TextBox 34">
          <a:extLst>
            <a:ext uri="{FF2B5EF4-FFF2-40B4-BE49-F238E27FC236}">
              <a16:creationId xmlns:a16="http://schemas.microsoft.com/office/drawing/2014/main" id="{46DFE1E3-4CFE-9399-B5E7-66C736D92D1A}"/>
            </a:ext>
          </a:extLst>
        </xdr:cNvPr>
        <xdr:cNvSpPr txBox="1"/>
      </xdr:nvSpPr>
      <xdr:spPr>
        <a:xfrm>
          <a:off x="3482340" y="3169920"/>
          <a:ext cx="8382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lumMod val="40000"/>
                  <a:lumOff val="60000"/>
                </a:schemeClr>
              </a:solidFill>
            </a:rPr>
            <a:t>Females</a:t>
          </a:r>
        </a:p>
      </xdr:txBody>
    </xdr:sp>
    <xdr:clientData/>
  </xdr:twoCellAnchor>
  <xdr:twoCellAnchor>
    <xdr:from>
      <xdr:col>4</xdr:col>
      <xdr:colOff>403860</xdr:colOff>
      <xdr:row>14</xdr:row>
      <xdr:rowOff>167640</xdr:rowOff>
    </xdr:from>
    <xdr:to>
      <xdr:col>6</xdr:col>
      <xdr:colOff>228660</xdr:colOff>
      <xdr:row>19</xdr:row>
      <xdr:rowOff>106740</xdr:rowOff>
    </xdr:to>
    <xdr:graphicFrame macro="">
      <xdr:nvGraphicFramePr>
        <xdr:cNvPr id="36" name="Chart 35">
          <a:extLst>
            <a:ext uri="{FF2B5EF4-FFF2-40B4-BE49-F238E27FC236}">
              <a16:creationId xmlns:a16="http://schemas.microsoft.com/office/drawing/2014/main" id="{0E720EA6-F1C6-4497-AC1F-608A5FEB2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377888</xdr:colOff>
      <xdr:row>14</xdr:row>
      <xdr:rowOff>177400</xdr:rowOff>
    </xdr:from>
    <xdr:to>
      <xdr:col>8</xdr:col>
      <xdr:colOff>202688</xdr:colOff>
      <xdr:row>19</xdr:row>
      <xdr:rowOff>116500</xdr:rowOff>
    </xdr:to>
    <xdr:graphicFrame macro="">
      <xdr:nvGraphicFramePr>
        <xdr:cNvPr id="37" name="Chart 36">
          <a:extLst>
            <a:ext uri="{FF2B5EF4-FFF2-40B4-BE49-F238E27FC236}">
              <a16:creationId xmlns:a16="http://schemas.microsoft.com/office/drawing/2014/main" id="{DC2304D4-5CAD-47C2-A47B-16109C7D0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510540</xdr:colOff>
      <xdr:row>9</xdr:row>
      <xdr:rowOff>129540</xdr:rowOff>
    </xdr:from>
    <xdr:to>
      <xdr:col>12</xdr:col>
      <xdr:colOff>304800</xdr:colOff>
      <xdr:row>16</xdr:row>
      <xdr:rowOff>106680</xdr:rowOff>
    </xdr:to>
    <xdr:graphicFrame macro="">
      <xdr:nvGraphicFramePr>
        <xdr:cNvPr id="38" name="Chart 37">
          <a:extLst>
            <a:ext uri="{FF2B5EF4-FFF2-40B4-BE49-F238E27FC236}">
              <a16:creationId xmlns:a16="http://schemas.microsoft.com/office/drawing/2014/main" id="{45DFDAFD-4835-44A4-9361-01416C90A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506730</xdr:colOff>
      <xdr:row>16</xdr:row>
      <xdr:rowOff>91440</xdr:rowOff>
    </xdr:from>
    <xdr:to>
      <xdr:col>12</xdr:col>
      <xdr:colOff>499110</xdr:colOff>
      <xdr:row>18</xdr:row>
      <xdr:rowOff>160020</xdr:rowOff>
    </xdr:to>
    <xdr:grpSp>
      <xdr:nvGrpSpPr>
        <xdr:cNvPr id="102" name="Group 101">
          <a:extLst>
            <a:ext uri="{FF2B5EF4-FFF2-40B4-BE49-F238E27FC236}">
              <a16:creationId xmlns:a16="http://schemas.microsoft.com/office/drawing/2014/main" id="{E3FAECBB-AF34-7AB6-5FA7-CEAC9B93DDD9}"/>
            </a:ext>
          </a:extLst>
        </xdr:cNvPr>
        <xdr:cNvGrpSpPr/>
      </xdr:nvGrpSpPr>
      <xdr:grpSpPr>
        <a:xfrm>
          <a:off x="5383530" y="3574869"/>
          <a:ext cx="2430780" cy="504008"/>
          <a:chOff x="4743450" y="3208020"/>
          <a:chExt cx="2430780" cy="510540"/>
        </a:xfrm>
      </xdr:grpSpPr>
      <xdr:sp macro="" textlink="">
        <xdr:nvSpPr>
          <xdr:cNvPr id="69" name="TextBox 68">
            <a:extLst>
              <a:ext uri="{FF2B5EF4-FFF2-40B4-BE49-F238E27FC236}">
                <a16:creationId xmlns:a16="http://schemas.microsoft.com/office/drawing/2014/main" id="{377249F7-EEB6-B247-FD2A-2FD368388D1B}"/>
              </a:ext>
            </a:extLst>
          </xdr:cNvPr>
          <xdr:cNvSpPr txBox="1"/>
        </xdr:nvSpPr>
        <xdr:spPr>
          <a:xfrm>
            <a:off x="5494020" y="3215640"/>
            <a:ext cx="861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Developers</a:t>
            </a:r>
          </a:p>
        </xdr:txBody>
      </xdr:sp>
      <xdr:sp macro="" textlink="">
        <xdr:nvSpPr>
          <xdr:cNvPr id="93" name="TextBox 92">
            <a:extLst>
              <a:ext uri="{FF2B5EF4-FFF2-40B4-BE49-F238E27FC236}">
                <a16:creationId xmlns:a16="http://schemas.microsoft.com/office/drawing/2014/main" id="{51214F20-8EC9-4350-9903-2831678111B5}"/>
              </a:ext>
            </a:extLst>
          </xdr:cNvPr>
          <xdr:cNvSpPr txBox="1"/>
        </xdr:nvSpPr>
        <xdr:spPr>
          <a:xfrm>
            <a:off x="4812030" y="3208020"/>
            <a:ext cx="716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Analysis</a:t>
            </a:r>
          </a:p>
        </xdr:txBody>
      </xdr:sp>
      <xdr:sp macro="" textlink="">
        <xdr:nvSpPr>
          <xdr:cNvPr id="94" name="TextBox 93">
            <a:extLst>
              <a:ext uri="{FF2B5EF4-FFF2-40B4-BE49-F238E27FC236}">
                <a16:creationId xmlns:a16="http://schemas.microsoft.com/office/drawing/2014/main" id="{529F3FE5-A882-4820-9619-D8B212285EFA}"/>
              </a:ext>
            </a:extLst>
          </xdr:cNvPr>
          <xdr:cNvSpPr txBox="1"/>
        </xdr:nvSpPr>
        <xdr:spPr>
          <a:xfrm>
            <a:off x="4857750" y="3406140"/>
            <a:ext cx="9753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Manager</a:t>
            </a:r>
          </a:p>
        </xdr:txBody>
      </xdr:sp>
      <xdr:sp macro="" textlink="">
        <xdr:nvSpPr>
          <xdr:cNvPr id="95" name="TextBox 94">
            <a:extLst>
              <a:ext uri="{FF2B5EF4-FFF2-40B4-BE49-F238E27FC236}">
                <a16:creationId xmlns:a16="http://schemas.microsoft.com/office/drawing/2014/main" id="{DFCF2E2B-DA1B-4A9F-AD4A-FF86B38F013F}"/>
              </a:ext>
            </a:extLst>
          </xdr:cNvPr>
          <xdr:cNvSpPr txBox="1"/>
        </xdr:nvSpPr>
        <xdr:spPr>
          <a:xfrm>
            <a:off x="6320790" y="3238500"/>
            <a:ext cx="8534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Designers</a:t>
            </a:r>
          </a:p>
        </xdr:txBody>
      </xdr:sp>
      <xdr:sp macro="" textlink="">
        <xdr:nvSpPr>
          <xdr:cNvPr id="96" name="TextBox 95">
            <a:extLst>
              <a:ext uri="{FF2B5EF4-FFF2-40B4-BE49-F238E27FC236}">
                <a16:creationId xmlns:a16="http://schemas.microsoft.com/office/drawing/2014/main" id="{78954482-6228-4A71-BAE3-4F412D68A6BF}"/>
              </a:ext>
            </a:extLst>
          </xdr:cNvPr>
          <xdr:cNvSpPr txBox="1"/>
        </xdr:nvSpPr>
        <xdr:spPr>
          <a:xfrm>
            <a:off x="5650230" y="3421380"/>
            <a:ext cx="11506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HR Specialisis</a:t>
            </a:r>
          </a:p>
        </xdr:txBody>
      </xdr:sp>
      <xdr:sp macro="" textlink="">
        <xdr:nvSpPr>
          <xdr:cNvPr id="97" name="Flowchart: Connector 96">
            <a:extLst>
              <a:ext uri="{FF2B5EF4-FFF2-40B4-BE49-F238E27FC236}">
                <a16:creationId xmlns:a16="http://schemas.microsoft.com/office/drawing/2014/main" id="{25B9E3E1-F888-4E55-BBB0-3600C20EF44C}"/>
              </a:ext>
            </a:extLst>
          </xdr:cNvPr>
          <xdr:cNvSpPr/>
        </xdr:nvSpPr>
        <xdr:spPr>
          <a:xfrm>
            <a:off x="4743450" y="3284220"/>
            <a:ext cx="114300" cy="129540"/>
          </a:xfrm>
          <a:prstGeom prst="flowChartConnector">
            <a:avLst/>
          </a:prstGeom>
          <a:solidFill>
            <a:srgbClr val="797C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8" name="Flowchart: Connector 97">
            <a:extLst>
              <a:ext uri="{FF2B5EF4-FFF2-40B4-BE49-F238E27FC236}">
                <a16:creationId xmlns:a16="http://schemas.microsoft.com/office/drawing/2014/main" id="{9EDCA3C5-7EDA-4ABE-B307-0B2409D7D4E9}"/>
              </a:ext>
            </a:extLst>
          </xdr:cNvPr>
          <xdr:cNvSpPr/>
        </xdr:nvSpPr>
        <xdr:spPr>
          <a:xfrm>
            <a:off x="5414010" y="3276600"/>
            <a:ext cx="114300" cy="129540"/>
          </a:xfrm>
          <a:prstGeom prst="flowChartConnector">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9" name="Flowchart: Connector 98">
            <a:extLst>
              <a:ext uri="{FF2B5EF4-FFF2-40B4-BE49-F238E27FC236}">
                <a16:creationId xmlns:a16="http://schemas.microsoft.com/office/drawing/2014/main" id="{1C4C8668-95C3-414E-83BA-072C98C1C171}"/>
              </a:ext>
            </a:extLst>
          </xdr:cNvPr>
          <xdr:cNvSpPr/>
        </xdr:nvSpPr>
        <xdr:spPr>
          <a:xfrm>
            <a:off x="6244590" y="3299460"/>
            <a:ext cx="114300" cy="129540"/>
          </a:xfrm>
          <a:prstGeom prst="flowChartConnector">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0" name="Flowchart: Connector 99">
            <a:extLst>
              <a:ext uri="{FF2B5EF4-FFF2-40B4-BE49-F238E27FC236}">
                <a16:creationId xmlns:a16="http://schemas.microsoft.com/office/drawing/2014/main" id="{F0BA1FC7-B893-491D-9FFC-EF29167B0784}"/>
              </a:ext>
            </a:extLst>
          </xdr:cNvPr>
          <xdr:cNvSpPr/>
        </xdr:nvSpPr>
        <xdr:spPr>
          <a:xfrm>
            <a:off x="5535930" y="3489960"/>
            <a:ext cx="125730" cy="11430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1" name="Flowchart: Connector 100">
            <a:extLst>
              <a:ext uri="{FF2B5EF4-FFF2-40B4-BE49-F238E27FC236}">
                <a16:creationId xmlns:a16="http://schemas.microsoft.com/office/drawing/2014/main" id="{28DC33B0-959E-4C97-95F9-DF8CC5033768}"/>
              </a:ext>
            </a:extLst>
          </xdr:cNvPr>
          <xdr:cNvSpPr/>
        </xdr:nvSpPr>
        <xdr:spPr>
          <a:xfrm>
            <a:off x="4754880" y="3497580"/>
            <a:ext cx="110490" cy="114300"/>
          </a:xfrm>
          <a:prstGeom prst="flowChartConnector">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457200</xdr:colOff>
      <xdr:row>8</xdr:row>
      <xdr:rowOff>68580</xdr:rowOff>
    </xdr:from>
    <xdr:to>
      <xdr:col>10</xdr:col>
      <xdr:colOff>464820</xdr:colOff>
      <xdr:row>9</xdr:row>
      <xdr:rowOff>114300</xdr:rowOff>
    </xdr:to>
    <xdr:sp macro="" textlink="">
      <xdr:nvSpPr>
        <xdr:cNvPr id="104" name="TextBox 103">
          <a:extLst>
            <a:ext uri="{FF2B5EF4-FFF2-40B4-BE49-F238E27FC236}">
              <a16:creationId xmlns:a16="http://schemas.microsoft.com/office/drawing/2014/main" id="{5BF01465-23B3-8BFB-2501-8D0D6D35FA47}"/>
            </a:ext>
          </a:extLst>
        </xdr:cNvPr>
        <xdr:cNvSpPr txBox="1"/>
      </xdr:nvSpPr>
      <xdr:spPr>
        <a:xfrm>
          <a:off x="4724400" y="1836420"/>
          <a:ext cx="12268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40000"/>
                  <a:lumOff val="60000"/>
                </a:schemeClr>
              </a:solidFill>
            </a:rPr>
            <a:t>Leave Tracking</a:t>
          </a:r>
        </a:p>
      </xdr:txBody>
    </xdr:sp>
    <xdr:clientData/>
  </xdr:twoCellAnchor>
  <xdr:twoCellAnchor>
    <xdr:from>
      <xdr:col>8</xdr:col>
      <xdr:colOff>426720</xdr:colOff>
      <xdr:row>9</xdr:row>
      <xdr:rowOff>83820</xdr:rowOff>
    </xdr:from>
    <xdr:to>
      <xdr:col>11</xdr:col>
      <xdr:colOff>281940</xdr:colOff>
      <xdr:row>10</xdr:row>
      <xdr:rowOff>137160</xdr:rowOff>
    </xdr:to>
    <xdr:sp macro="" textlink="">
      <xdr:nvSpPr>
        <xdr:cNvPr id="105" name="TextBox 104">
          <a:extLst>
            <a:ext uri="{FF2B5EF4-FFF2-40B4-BE49-F238E27FC236}">
              <a16:creationId xmlns:a16="http://schemas.microsoft.com/office/drawing/2014/main" id="{B6973735-41C3-73F9-973C-02867AD0847D}"/>
            </a:ext>
          </a:extLst>
        </xdr:cNvPr>
        <xdr:cNvSpPr txBox="1"/>
      </xdr:nvSpPr>
      <xdr:spPr>
        <a:xfrm>
          <a:off x="4693920" y="2072640"/>
          <a:ext cx="16840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50000"/>
                </a:schemeClr>
              </a:solidFill>
            </a:rPr>
            <a:t>Leave Tracking by Job Life</a:t>
          </a:r>
        </a:p>
      </xdr:txBody>
    </xdr:sp>
    <xdr:clientData/>
  </xdr:twoCellAnchor>
  <xdr:twoCellAnchor>
    <xdr:from>
      <xdr:col>12</xdr:col>
      <xdr:colOff>472440</xdr:colOff>
      <xdr:row>11</xdr:row>
      <xdr:rowOff>99060</xdr:rowOff>
    </xdr:from>
    <xdr:to>
      <xdr:col>16</xdr:col>
      <xdr:colOff>45720</xdr:colOff>
      <xdr:row>17</xdr:row>
      <xdr:rowOff>91440</xdr:rowOff>
    </xdr:to>
    <xdr:graphicFrame macro="">
      <xdr:nvGraphicFramePr>
        <xdr:cNvPr id="107" name="Chart 106">
          <a:extLst>
            <a:ext uri="{FF2B5EF4-FFF2-40B4-BE49-F238E27FC236}">
              <a16:creationId xmlns:a16="http://schemas.microsoft.com/office/drawing/2014/main" id="{CEDCFE27-99A1-480A-BFE2-34F40774C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525780</xdr:colOff>
      <xdr:row>9</xdr:row>
      <xdr:rowOff>190500</xdr:rowOff>
    </xdr:from>
    <xdr:to>
      <xdr:col>14</xdr:col>
      <xdr:colOff>320040</xdr:colOff>
      <xdr:row>10</xdr:row>
      <xdr:rowOff>190500</xdr:rowOff>
    </xdr:to>
    <xdr:sp macro="" textlink="">
      <xdr:nvSpPr>
        <xdr:cNvPr id="108" name="TextBox 107">
          <a:extLst>
            <a:ext uri="{FF2B5EF4-FFF2-40B4-BE49-F238E27FC236}">
              <a16:creationId xmlns:a16="http://schemas.microsoft.com/office/drawing/2014/main" id="{48E7950F-BBD9-8202-9D06-69DFC24BEC6C}"/>
            </a:ext>
          </a:extLst>
        </xdr:cNvPr>
        <xdr:cNvSpPr txBox="1"/>
      </xdr:nvSpPr>
      <xdr:spPr>
        <a:xfrm>
          <a:off x="7231380" y="2179320"/>
          <a:ext cx="10134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40000"/>
                  <a:lumOff val="60000"/>
                </a:schemeClr>
              </a:solidFill>
            </a:rPr>
            <a:t>Regions</a:t>
          </a:r>
        </a:p>
      </xdr:txBody>
    </xdr:sp>
    <xdr:clientData/>
  </xdr:twoCellAnchor>
  <xdr:twoCellAnchor>
    <xdr:from>
      <xdr:col>12</xdr:col>
      <xdr:colOff>464820</xdr:colOff>
      <xdr:row>10</xdr:row>
      <xdr:rowOff>190500</xdr:rowOff>
    </xdr:from>
    <xdr:to>
      <xdr:col>15</xdr:col>
      <xdr:colOff>220980</xdr:colOff>
      <xdr:row>12</xdr:row>
      <xdr:rowOff>22860</xdr:rowOff>
    </xdr:to>
    <xdr:sp macro="" textlink="">
      <xdr:nvSpPr>
        <xdr:cNvPr id="109" name="TextBox 108">
          <a:extLst>
            <a:ext uri="{FF2B5EF4-FFF2-40B4-BE49-F238E27FC236}">
              <a16:creationId xmlns:a16="http://schemas.microsoft.com/office/drawing/2014/main" id="{0182F3A1-17EA-E321-BDCF-05C50E7D079F}"/>
            </a:ext>
          </a:extLst>
        </xdr:cNvPr>
        <xdr:cNvSpPr txBox="1"/>
      </xdr:nvSpPr>
      <xdr:spPr>
        <a:xfrm>
          <a:off x="7170420" y="2400300"/>
          <a:ext cx="15849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50000"/>
                </a:schemeClr>
              </a:solidFill>
            </a:rPr>
            <a:t>Employees</a:t>
          </a:r>
          <a:r>
            <a:rPr lang="en-IN" sz="1100" b="1" baseline="0">
              <a:solidFill>
                <a:schemeClr val="bg2">
                  <a:lumMod val="50000"/>
                </a:schemeClr>
              </a:solidFill>
            </a:rPr>
            <a:t> by Regions</a:t>
          </a:r>
          <a:endParaRPr lang="en-IN" sz="1100" b="1">
            <a:solidFill>
              <a:schemeClr val="bg2">
                <a:lumMod val="50000"/>
              </a:schemeClr>
            </a:solidFill>
          </a:endParaRPr>
        </a:p>
      </xdr:txBody>
    </xdr:sp>
    <xdr:clientData/>
  </xdr:twoCellAnchor>
  <xdr:twoCellAnchor>
    <xdr:from>
      <xdr:col>12</xdr:col>
      <xdr:colOff>594360</xdr:colOff>
      <xdr:row>4</xdr:row>
      <xdr:rowOff>22860</xdr:rowOff>
    </xdr:from>
    <xdr:to>
      <xdr:col>14</xdr:col>
      <xdr:colOff>312420</xdr:colOff>
      <xdr:row>7</xdr:row>
      <xdr:rowOff>22860</xdr:rowOff>
    </xdr:to>
    <xdr:sp macro="" textlink="'Pivot Table'!S54">
      <xdr:nvSpPr>
        <xdr:cNvPr id="110" name="TextBox 109">
          <a:extLst>
            <a:ext uri="{FF2B5EF4-FFF2-40B4-BE49-F238E27FC236}">
              <a16:creationId xmlns:a16="http://schemas.microsoft.com/office/drawing/2014/main" id="{15AB10DE-EED8-217B-3612-7199D32A9C9F}"/>
            </a:ext>
          </a:extLst>
        </xdr:cNvPr>
        <xdr:cNvSpPr txBox="1"/>
      </xdr:nvSpPr>
      <xdr:spPr>
        <a:xfrm>
          <a:off x="7299960" y="906780"/>
          <a:ext cx="93726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7FC6E1-B095-4268-BF14-1510FA67427E}" type="TxLink">
            <a:rPr lang="en-US" sz="4400" b="1" i="0" u="none" strike="noStrike">
              <a:solidFill>
                <a:schemeClr val="bg1"/>
              </a:solidFill>
              <a:latin typeface="Aptos Narrow"/>
            </a:rPr>
            <a:pPr/>
            <a:t>2.6</a:t>
          </a:fld>
          <a:endParaRPr lang="en-IN" sz="4400" b="1">
            <a:solidFill>
              <a:schemeClr val="bg1"/>
            </a:solidFill>
          </a:endParaRPr>
        </a:p>
      </xdr:txBody>
    </xdr:sp>
    <xdr:clientData/>
  </xdr:twoCellAnchor>
  <xdr:twoCellAnchor>
    <xdr:from>
      <xdr:col>12</xdr:col>
      <xdr:colOff>556260</xdr:colOff>
      <xdr:row>7</xdr:row>
      <xdr:rowOff>99060</xdr:rowOff>
    </xdr:from>
    <xdr:to>
      <xdr:col>14</xdr:col>
      <xdr:colOff>579120</xdr:colOff>
      <xdr:row>8</xdr:row>
      <xdr:rowOff>83820</xdr:rowOff>
    </xdr:to>
    <xdr:sp macro="" textlink="">
      <xdr:nvSpPr>
        <xdr:cNvPr id="111" name="TextBox 110">
          <a:extLst>
            <a:ext uri="{FF2B5EF4-FFF2-40B4-BE49-F238E27FC236}">
              <a16:creationId xmlns:a16="http://schemas.microsoft.com/office/drawing/2014/main" id="{8ED5E139-4B72-CE28-DEED-AB85870F86BC}"/>
            </a:ext>
          </a:extLst>
        </xdr:cNvPr>
        <xdr:cNvSpPr txBox="1"/>
      </xdr:nvSpPr>
      <xdr:spPr>
        <a:xfrm>
          <a:off x="7261860" y="1645920"/>
          <a:ext cx="12420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Average Rating</a:t>
          </a:r>
        </a:p>
      </xdr:txBody>
    </xdr:sp>
    <xdr:clientData/>
  </xdr:twoCellAnchor>
  <xdr:twoCellAnchor editAs="oneCell">
    <xdr:from>
      <xdr:col>14</xdr:col>
      <xdr:colOff>388620</xdr:colOff>
      <xdr:row>4</xdr:row>
      <xdr:rowOff>15240</xdr:rowOff>
    </xdr:from>
    <xdr:to>
      <xdr:col>16</xdr:col>
      <xdr:colOff>60960</xdr:colOff>
      <xdr:row>8</xdr:row>
      <xdr:rowOff>22860</xdr:rowOff>
    </xdr:to>
    <xdr:pic>
      <xdr:nvPicPr>
        <xdr:cNvPr id="115" name="Graphic 114" descr="Bar graph with upward trend with solid fill">
          <a:extLst>
            <a:ext uri="{FF2B5EF4-FFF2-40B4-BE49-F238E27FC236}">
              <a16:creationId xmlns:a16="http://schemas.microsoft.com/office/drawing/2014/main" id="{B039B830-D394-65DB-67A6-3FAE1B17BA3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313420" y="899160"/>
          <a:ext cx="891540" cy="891540"/>
        </a:xfrm>
        <a:prstGeom prst="rect">
          <a:avLst/>
        </a:prstGeom>
      </xdr:spPr>
    </xdr:pic>
    <xdr:clientData/>
  </xdr:twoCellAnchor>
  <xdr:twoCellAnchor>
    <xdr:from>
      <xdr:col>12</xdr:col>
      <xdr:colOff>457200</xdr:colOff>
      <xdr:row>1</xdr:row>
      <xdr:rowOff>76200</xdr:rowOff>
    </xdr:from>
    <xdr:to>
      <xdr:col>15</xdr:col>
      <xdr:colOff>220980</xdr:colOff>
      <xdr:row>2</xdr:row>
      <xdr:rowOff>129540</xdr:rowOff>
    </xdr:to>
    <xdr:sp macro="" textlink="">
      <xdr:nvSpPr>
        <xdr:cNvPr id="116" name="TextBox 115">
          <a:extLst>
            <a:ext uri="{FF2B5EF4-FFF2-40B4-BE49-F238E27FC236}">
              <a16:creationId xmlns:a16="http://schemas.microsoft.com/office/drawing/2014/main" id="{41211013-C0BC-BA81-2DD6-453EA853300E}"/>
            </a:ext>
          </a:extLst>
        </xdr:cNvPr>
        <xdr:cNvSpPr txBox="1"/>
      </xdr:nvSpPr>
      <xdr:spPr>
        <a:xfrm>
          <a:off x="7162800" y="297180"/>
          <a:ext cx="1592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40000"/>
                  <a:lumOff val="60000"/>
                </a:schemeClr>
              </a:solidFill>
            </a:rPr>
            <a:t>Performance Rating</a:t>
          </a:r>
        </a:p>
      </xdr:txBody>
    </xdr:sp>
    <xdr:clientData/>
  </xdr:twoCellAnchor>
  <xdr:twoCellAnchor>
    <xdr:from>
      <xdr:col>12</xdr:col>
      <xdr:colOff>419100</xdr:colOff>
      <xdr:row>2</xdr:row>
      <xdr:rowOff>121920</xdr:rowOff>
    </xdr:from>
    <xdr:to>
      <xdr:col>15</xdr:col>
      <xdr:colOff>434340</xdr:colOff>
      <xdr:row>3</xdr:row>
      <xdr:rowOff>114300</xdr:rowOff>
    </xdr:to>
    <xdr:sp macro="" textlink="">
      <xdr:nvSpPr>
        <xdr:cNvPr id="117" name="TextBox 116">
          <a:extLst>
            <a:ext uri="{FF2B5EF4-FFF2-40B4-BE49-F238E27FC236}">
              <a16:creationId xmlns:a16="http://schemas.microsoft.com/office/drawing/2014/main" id="{AEE71B3A-EC8A-54D2-853E-812A6260B3F6}"/>
            </a:ext>
          </a:extLst>
        </xdr:cNvPr>
        <xdr:cNvSpPr txBox="1"/>
      </xdr:nvSpPr>
      <xdr:spPr>
        <a:xfrm>
          <a:off x="7124700" y="563880"/>
          <a:ext cx="18440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50000"/>
                </a:schemeClr>
              </a:solidFill>
            </a:rPr>
            <a:t>Average Performance Rating</a:t>
          </a:r>
        </a:p>
      </xdr:txBody>
    </xdr:sp>
    <xdr:clientData/>
  </xdr:twoCellAnchor>
  <xdr:twoCellAnchor editAs="oneCell">
    <xdr:from>
      <xdr:col>1</xdr:col>
      <xdr:colOff>307620</xdr:colOff>
      <xdr:row>3</xdr:row>
      <xdr:rowOff>10440</xdr:rowOff>
    </xdr:from>
    <xdr:to>
      <xdr:col>3</xdr:col>
      <xdr:colOff>2820</xdr:colOff>
      <xdr:row>7</xdr:row>
      <xdr:rowOff>40920</xdr:rowOff>
    </xdr:to>
    <xdr:pic>
      <xdr:nvPicPr>
        <xdr:cNvPr id="130" name="Graphic 129" descr="Users with solid fill">
          <a:extLst>
            <a:ext uri="{FF2B5EF4-FFF2-40B4-BE49-F238E27FC236}">
              <a16:creationId xmlns:a16="http://schemas.microsoft.com/office/drawing/2014/main" id="{AB2D2CFD-8639-8F09-315C-A2A270123DD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07620" y="673380"/>
          <a:ext cx="914400" cy="914400"/>
        </a:xfrm>
        <a:prstGeom prst="rect">
          <a:avLst/>
        </a:prstGeom>
      </xdr:spPr>
    </xdr:pic>
    <xdr:clientData/>
  </xdr:twoCellAnchor>
  <xdr:twoCellAnchor editAs="oneCell">
    <xdr:from>
      <xdr:col>1</xdr:col>
      <xdr:colOff>327660</xdr:colOff>
      <xdr:row>0</xdr:row>
      <xdr:rowOff>83820</xdr:rowOff>
    </xdr:from>
    <xdr:to>
      <xdr:col>2</xdr:col>
      <xdr:colOff>487680</xdr:colOff>
      <xdr:row>3</xdr:row>
      <xdr:rowOff>190500</xdr:rowOff>
    </xdr:to>
    <xdr:pic>
      <xdr:nvPicPr>
        <xdr:cNvPr id="132" name="Graphic 131" descr="Building with solid fill">
          <a:extLst>
            <a:ext uri="{FF2B5EF4-FFF2-40B4-BE49-F238E27FC236}">
              <a16:creationId xmlns:a16="http://schemas.microsoft.com/office/drawing/2014/main" id="{3DF9D9F8-B094-144B-CCA9-DEBA82EAF72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27660" y="83820"/>
          <a:ext cx="769620" cy="769620"/>
        </a:xfrm>
        <a:prstGeom prst="rect">
          <a:avLst/>
        </a:prstGeom>
      </xdr:spPr>
    </xdr:pic>
    <xdr:clientData/>
  </xdr:twoCellAnchor>
  <xdr:twoCellAnchor>
    <xdr:from>
      <xdr:col>2</xdr:col>
      <xdr:colOff>443842</xdr:colOff>
      <xdr:row>0</xdr:row>
      <xdr:rowOff>176314</xdr:rowOff>
    </xdr:from>
    <xdr:to>
      <xdr:col>7</xdr:col>
      <xdr:colOff>548640</xdr:colOff>
      <xdr:row>6</xdr:row>
      <xdr:rowOff>68580</xdr:rowOff>
    </xdr:to>
    <xdr:sp macro="" textlink="">
      <xdr:nvSpPr>
        <xdr:cNvPr id="134" name="TextBox 133">
          <a:extLst>
            <a:ext uri="{FF2B5EF4-FFF2-40B4-BE49-F238E27FC236}">
              <a16:creationId xmlns:a16="http://schemas.microsoft.com/office/drawing/2014/main" id="{11F4AFAF-EC3C-4065-3B57-B9AB649664B6}"/>
            </a:ext>
          </a:extLst>
        </xdr:cNvPr>
        <xdr:cNvSpPr txBox="1"/>
      </xdr:nvSpPr>
      <xdr:spPr>
        <a:xfrm rot="10800000" flipH="1" flipV="1">
          <a:off x="1053442" y="176314"/>
          <a:ext cx="3152798" cy="1218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accent2">
                  <a:lumMod val="40000"/>
                  <a:lumOff val="60000"/>
                </a:schemeClr>
              </a:solidFill>
            </a:rPr>
            <a:t>HR</a:t>
          </a:r>
        </a:p>
        <a:p>
          <a:r>
            <a:rPr lang="en-IN" sz="1800" b="1">
              <a:solidFill>
                <a:schemeClr val="accent2">
                  <a:lumMod val="40000"/>
                  <a:lumOff val="60000"/>
                </a:schemeClr>
              </a:solidFill>
            </a:rPr>
            <a:t>Dashboard</a:t>
          </a:r>
        </a:p>
        <a:p>
          <a:r>
            <a:rPr lang="en-IN" sz="1400" b="1">
              <a:solidFill>
                <a:schemeClr val="bg2">
                  <a:lumMod val="50000"/>
                </a:schemeClr>
              </a:solidFill>
            </a:rPr>
            <a:t>Analyze</a:t>
          </a:r>
          <a:r>
            <a:rPr lang="en-IN" sz="1400" b="1" baseline="0">
              <a:solidFill>
                <a:schemeClr val="bg2">
                  <a:lumMod val="50000"/>
                </a:schemeClr>
              </a:solidFill>
            </a:rPr>
            <a:t> and monitor the HR Department</a:t>
          </a:r>
          <a:endParaRPr lang="en-IN" sz="1400" b="1">
            <a:solidFill>
              <a:schemeClr val="bg2">
                <a:lumMod val="50000"/>
              </a:schemeClr>
            </a:solidFill>
          </a:endParaRPr>
        </a:p>
      </xdr:txBody>
    </xdr:sp>
    <xdr:clientData/>
  </xdr:twoCellAnchor>
  <xdr:twoCellAnchor editAs="oneCell">
    <xdr:from>
      <xdr:col>8</xdr:col>
      <xdr:colOff>374468</xdr:colOff>
      <xdr:row>5</xdr:row>
      <xdr:rowOff>3266</xdr:rowOff>
    </xdr:from>
    <xdr:to>
      <xdr:col>12</xdr:col>
      <xdr:colOff>351608</xdr:colOff>
      <xdr:row>8</xdr:row>
      <xdr:rowOff>3266</xdr:rowOff>
    </xdr:to>
    <mc:AlternateContent xmlns:mc="http://schemas.openxmlformats.org/markup-compatibility/2006">
      <mc:Choice xmlns:a14="http://schemas.microsoft.com/office/drawing/2010/main" Requires="a14">
        <xdr:graphicFrame macro="">
          <xdr:nvGraphicFramePr>
            <xdr:cNvPr id="135" name="Gender 1">
              <a:extLst>
                <a:ext uri="{FF2B5EF4-FFF2-40B4-BE49-F238E27FC236}">
                  <a16:creationId xmlns:a16="http://schemas.microsoft.com/office/drawing/2014/main" id="{20DD93B4-6452-4C4A-8A82-DE38FCC8B80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251268" y="1091837"/>
              <a:ext cx="2415540" cy="653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351609</xdr:colOff>
      <xdr:row>0</xdr:row>
      <xdr:rowOff>203563</xdr:rowOff>
    </xdr:from>
    <xdr:to>
      <xdr:col>12</xdr:col>
      <xdr:colOff>389709</xdr:colOff>
      <xdr:row>4</xdr:row>
      <xdr:rowOff>188323</xdr:rowOff>
    </xdr:to>
    <mc:AlternateContent xmlns:mc="http://schemas.openxmlformats.org/markup-compatibility/2006">
      <mc:Choice xmlns:a14="http://schemas.microsoft.com/office/drawing/2010/main" Requires="a14">
        <xdr:graphicFrame macro="">
          <xdr:nvGraphicFramePr>
            <xdr:cNvPr id="136" name="Department 1">
              <a:extLst>
                <a:ext uri="{FF2B5EF4-FFF2-40B4-BE49-F238E27FC236}">
                  <a16:creationId xmlns:a16="http://schemas.microsoft.com/office/drawing/2014/main" id="{42F899AE-2C8A-4139-A702-219DE464E58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228409" y="203563"/>
              <a:ext cx="2476500" cy="855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0.25303</cdr:x>
      <cdr:y>0.34061</cdr:y>
    </cdr:from>
    <cdr:to>
      <cdr:x>0.78098</cdr:x>
      <cdr:y>0.61067</cdr:y>
    </cdr:to>
    <cdr:sp macro="" textlink="'Pivot Table'!$J$28">
      <cdr:nvSpPr>
        <cdr:cNvPr id="2" name="TextBox 59">
          <a:extLst xmlns:a="http://schemas.openxmlformats.org/drawingml/2006/main">
            <a:ext uri="{FF2B5EF4-FFF2-40B4-BE49-F238E27FC236}">
              <a16:creationId xmlns:a16="http://schemas.microsoft.com/office/drawing/2014/main" id="{EB8A5178-85D9-D8A5-F302-5B1A29E1C7B1}"/>
            </a:ext>
          </a:extLst>
        </cdr:cNvPr>
        <cdr:cNvSpPr txBox="1"/>
      </cdr:nvSpPr>
      <cdr:spPr>
        <a:xfrm xmlns:a="http://schemas.openxmlformats.org/drawingml/2006/main">
          <a:off x="264160" y="355600"/>
          <a:ext cx="551180" cy="28194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158024FD-F535-4230-9063-2DD3F5E67168}" type="TxLink">
            <a:rPr lang="en-US" sz="1400" b="1" i="0" u="none" strike="noStrike">
              <a:solidFill>
                <a:schemeClr val="bg1"/>
              </a:solidFill>
              <a:latin typeface="Aptos Narrow"/>
            </a:rPr>
            <a:pPr/>
            <a:t>52%</a:t>
          </a:fld>
          <a:endParaRPr lang="en-IN" sz="1400" b="1">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0.26762</cdr:x>
      <cdr:y>0.35521</cdr:y>
    </cdr:from>
    <cdr:to>
      <cdr:x>0.77666</cdr:x>
      <cdr:y>0.61105</cdr:y>
    </cdr:to>
    <cdr:sp macro="" textlink="'Pivot Table'!$J$29">
      <cdr:nvSpPr>
        <cdr:cNvPr id="2" name="TextBox 59">
          <a:extLst xmlns:a="http://schemas.openxmlformats.org/drawingml/2006/main">
            <a:ext uri="{FF2B5EF4-FFF2-40B4-BE49-F238E27FC236}">
              <a16:creationId xmlns:a16="http://schemas.microsoft.com/office/drawing/2014/main" id="{EB8A5178-85D9-D8A5-F302-5B1A29E1C7B1}"/>
            </a:ext>
          </a:extLst>
        </cdr:cNvPr>
        <cdr:cNvSpPr txBox="1"/>
      </cdr:nvSpPr>
      <cdr:spPr>
        <a:xfrm xmlns:a="http://schemas.openxmlformats.org/drawingml/2006/main">
          <a:off x="279400" y="370840"/>
          <a:ext cx="531432" cy="2671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35EA11B1-3366-4526-86E2-F2F8E2CCBA49}" type="TxLink">
            <a:rPr lang="en-US" sz="1400" b="1" i="0" u="none" strike="noStrike">
              <a:solidFill>
                <a:schemeClr val="bg1"/>
              </a:solidFill>
              <a:latin typeface="Aptos Narrow"/>
            </a:rPr>
            <a:pPr/>
            <a:t>48%</a:t>
          </a:fld>
          <a:endParaRPr lang="en-IN" sz="1400" b="1">
            <a:solidFill>
              <a:schemeClr val="bg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6</xdr:col>
      <xdr:colOff>350520</xdr:colOff>
      <xdr:row>0</xdr:row>
      <xdr:rowOff>53340</xdr:rowOff>
    </xdr:from>
    <xdr:to>
      <xdr:col>9</xdr:col>
      <xdr:colOff>960120</xdr:colOff>
      <xdr:row>7</xdr:row>
      <xdr:rowOff>129540</xdr:rowOff>
    </xdr:to>
    <xdr:graphicFrame macro="">
      <xdr:nvGraphicFramePr>
        <xdr:cNvPr id="2" name="Chart 1">
          <a:extLst>
            <a:ext uri="{FF2B5EF4-FFF2-40B4-BE49-F238E27FC236}">
              <a16:creationId xmlns:a16="http://schemas.microsoft.com/office/drawing/2014/main" id="{4AA0D6CF-44D4-FE77-0B9D-1895D056B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228600</xdr:colOff>
      <xdr:row>22</xdr:row>
      <xdr:rowOff>38100</xdr:rowOff>
    </xdr:from>
    <xdr:to>
      <xdr:col>13</xdr:col>
      <xdr:colOff>297180</xdr:colOff>
      <xdr:row>32</xdr:row>
      <xdr:rowOff>72390</xdr:rowOff>
    </xdr:to>
    <xdr:graphicFrame macro="">
      <xdr:nvGraphicFramePr>
        <xdr:cNvPr id="3" name="Chart 2">
          <a:extLst>
            <a:ext uri="{FF2B5EF4-FFF2-40B4-BE49-F238E27FC236}">
              <a16:creationId xmlns:a16="http://schemas.microsoft.com/office/drawing/2014/main" id="{D8C82630-9651-3D3B-30FE-71DE667D4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137160</xdr:colOff>
      <xdr:row>33</xdr:row>
      <xdr:rowOff>121920</xdr:rowOff>
    </xdr:from>
    <xdr:to>
      <xdr:col>10</xdr:col>
      <xdr:colOff>845820</xdr:colOff>
      <xdr:row>43</xdr:row>
      <xdr:rowOff>19050</xdr:rowOff>
    </xdr:to>
    <xdr:graphicFrame macro="">
      <xdr:nvGraphicFramePr>
        <xdr:cNvPr id="4" name="Chart 3">
          <a:extLst>
            <a:ext uri="{FF2B5EF4-FFF2-40B4-BE49-F238E27FC236}">
              <a16:creationId xmlns:a16="http://schemas.microsoft.com/office/drawing/2014/main" id="{9862E445-1488-651E-E5B0-A1381D32F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xdr:colOff>
      <xdr:row>33</xdr:row>
      <xdr:rowOff>137160</xdr:rowOff>
    </xdr:from>
    <xdr:to>
      <xdr:col>13</xdr:col>
      <xdr:colOff>480060</xdr:colOff>
      <xdr:row>43</xdr:row>
      <xdr:rowOff>11430</xdr:rowOff>
    </xdr:to>
    <xdr:graphicFrame macro="">
      <xdr:nvGraphicFramePr>
        <xdr:cNvPr id="6" name="Chart 5">
          <a:extLst>
            <a:ext uri="{FF2B5EF4-FFF2-40B4-BE49-F238E27FC236}">
              <a16:creationId xmlns:a16="http://schemas.microsoft.com/office/drawing/2014/main" id="{DA4A5C1C-F093-45EF-105A-C3143268E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518160</xdr:colOff>
      <xdr:row>33</xdr:row>
      <xdr:rowOff>144780</xdr:rowOff>
    </xdr:from>
    <xdr:to>
      <xdr:col>16</xdr:col>
      <xdr:colOff>754380</xdr:colOff>
      <xdr:row>43</xdr:row>
      <xdr:rowOff>3810</xdr:rowOff>
    </xdr:to>
    <xdr:graphicFrame macro="">
      <xdr:nvGraphicFramePr>
        <xdr:cNvPr id="7" name="Chart 6">
          <a:extLst>
            <a:ext uri="{FF2B5EF4-FFF2-40B4-BE49-F238E27FC236}">
              <a16:creationId xmlns:a16="http://schemas.microsoft.com/office/drawing/2014/main" id="{ECCEECFA-30E8-F6D4-543B-8C32E8AD8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388620</xdr:colOff>
      <xdr:row>23</xdr:row>
      <xdr:rowOff>76200</xdr:rowOff>
    </xdr:from>
    <xdr:to>
      <xdr:col>16</xdr:col>
      <xdr:colOff>213360</xdr:colOff>
      <xdr:row>32</xdr:row>
      <xdr:rowOff>87630</xdr:rowOff>
    </xdr:to>
    <xdr:graphicFrame macro="">
      <xdr:nvGraphicFramePr>
        <xdr:cNvPr id="5" name="Chart 4">
          <a:extLst>
            <a:ext uri="{FF2B5EF4-FFF2-40B4-BE49-F238E27FC236}">
              <a16:creationId xmlns:a16="http://schemas.microsoft.com/office/drawing/2014/main" id="{E453BA33-7EBE-41CF-7123-52C37EA36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510540</xdr:colOff>
      <xdr:row>23</xdr:row>
      <xdr:rowOff>0</xdr:rowOff>
    </xdr:from>
    <xdr:to>
      <xdr:col>19</xdr:col>
      <xdr:colOff>518160</xdr:colOff>
      <xdr:row>32</xdr:row>
      <xdr:rowOff>68580</xdr:rowOff>
    </xdr:to>
    <xdr:graphicFrame macro="">
      <xdr:nvGraphicFramePr>
        <xdr:cNvPr id="8" name="Chart 7">
          <a:extLst>
            <a:ext uri="{FF2B5EF4-FFF2-40B4-BE49-F238E27FC236}">
              <a16:creationId xmlns:a16="http://schemas.microsoft.com/office/drawing/2014/main" id="{A7A06725-5D1A-3476-901A-DE7AB6707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160020</xdr:colOff>
      <xdr:row>12</xdr:row>
      <xdr:rowOff>0</xdr:rowOff>
    </xdr:from>
    <xdr:to>
      <xdr:col>8</xdr:col>
      <xdr:colOff>670566</xdr:colOff>
      <xdr:row>22</xdr:row>
      <xdr:rowOff>34290</xdr:rowOff>
    </xdr:to>
    <xdr:graphicFrame macro="">
      <xdr:nvGraphicFramePr>
        <xdr:cNvPr id="9" name="Chart 8">
          <a:extLst>
            <a:ext uri="{FF2B5EF4-FFF2-40B4-BE49-F238E27FC236}">
              <a16:creationId xmlns:a16="http://schemas.microsoft.com/office/drawing/2014/main" id="{C8655CBA-CC35-E031-ACF9-EA2A7D64E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373380</xdr:colOff>
      <xdr:row>47</xdr:row>
      <xdr:rowOff>0</xdr:rowOff>
    </xdr:from>
    <xdr:to>
      <xdr:col>14</xdr:col>
      <xdr:colOff>60960</xdr:colOff>
      <xdr:row>56</xdr:row>
      <xdr:rowOff>95250</xdr:rowOff>
    </xdr:to>
    <xdr:graphicFrame macro="">
      <xdr:nvGraphicFramePr>
        <xdr:cNvPr id="10" name="Chart 9">
          <a:extLst>
            <a:ext uri="{FF2B5EF4-FFF2-40B4-BE49-F238E27FC236}">
              <a16:creationId xmlns:a16="http://schemas.microsoft.com/office/drawing/2014/main" id="{A8072C64-D678-93B2-8480-2A1453DA0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198120</xdr:colOff>
      <xdr:row>1</xdr:row>
      <xdr:rowOff>91441</xdr:rowOff>
    </xdr:from>
    <xdr:to>
      <xdr:col>5</xdr:col>
      <xdr:colOff>22860</xdr:colOff>
      <xdr:row>9</xdr:row>
      <xdr:rowOff>137161</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C646B1AA-EADA-843E-C29D-E2BB1131A35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07920" y="274321"/>
              <a:ext cx="170688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1</xdr:row>
      <xdr:rowOff>30481</xdr:rowOff>
    </xdr:from>
    <xdr:to>
      <xdr:col>6</xdr:col>
      <xdr:colOff>0</xdr:colOff>
      <xdr:row>12</xdr:row>
      <xdr:rowOff>76201</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B8645BCB-5B1B-C0E2-EF23-C15F540C9F5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284220" y="213361"/>
              <a:ext cx="180594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INI SATGHARE" refreshedDate="46010.86367835648" createdVersion="8" refreshedVersion="8" minRefreshableVersion="3" recordCount="50" xr:uid="{40F92269-4466-46AE-ADAF-35880EC0478D}">
  <cacheSource type="worksheet">
    <worksheetSource ref="A1:U51" sheet="Clean Data"/>
  </cacheSource>
  <cacheFields count="21">
    <cacheField name="Employee ID" numFmtId="0">
      <sharedItems containsSemiMixedTypes="0" containsString="0" containsNumber="1" containsInteger="1" minValue="1550" maxValue="9968" count="50">
        <n v="4294"/>
        <n v="9116"/>
        <n v="5120"/>
        <n v="8071"/>
        <n v="9351"/>
        <n v="2873"/>
        <n v="3540"/>
        <n v="3653"/>
        <n v="5587"/>
        <n v="9554"/>
        <n v="6213"/>
        <n v="9105"/>
        <n v="9508"/>
        <n v="2436"/>
        <n v="4441"/>
        <n v="5827"/>
        <n v="5184"/>
        <n v="5874"/>
        <n v="9834"/>
        <n v="5096"/>
        <n v="2263"/>
        <n v="6505"/>
        <n v="8626"/>
        <n v="5979"/>
        <n v="3104"/>
        <n v="8967"/>
        <n v="5087"/>
        <n v="3358"/>
        <n v="8256"/>
        <n v="5763"/>
        <n v="6838"/>
        <n v="9544"/>
        <n v="8012"/>
        <n v="9374"/>
        <n v="3487"/>
        <n v="8445"/>
        <n v="1550"/>
        <n v="9968"/>
        <n v="8029"/>
        <n v="8847"/>
        <n v="1955"/>
        <n v="4522"/>
        <n v="3078"/>
        <n v="6357"/>
        <n v="7951"/>
        <n v="9228"/>
        <n v="8988"/>
        <n v="1952"/>
        <n v="5760"/>
        <n v="5742"/>
      </sharedItems>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987350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n v="25"/>
    <x v="0"/>
    <x v="0"/>
    <x v="0"/>
    <x v="0"/>
    <s v="Luis Reynolds"/>
    <s v="2019-03-15"/>
    <x v="0"/>
    <x v="0"/>
    <n v="53700"/>
    <s v="C"/>
    <n v="1463"/>
    <s v="Health"/>
    <n v="1"/>
    <n v="1"/>
    <s v="Leadership Training"/>
    <x v="0"/>
    <s v="Certified Professional"/>
  </r>
  <r>
    <x v="1"/>
    <x v="1"/>
    <x v="1"/>
    <n v="27"/>
    <x v="1"/>
    <x v="1"/>
    <x v="1"/>
    <x v="1"/>
    <s v="Ashley Simmons MD"/>
    <s v="2022-12-20"/>
    <x v="0"/>
    <x v="1"/>
    <n v="91091"/>
    <s v="B"/>
    <n v="1024"/>
    <s v="None"/>
    <n v="19"/>
    <n v="4"/>
    <s v="Excel Workshop"/>
    <x v="0"/>
    <s v="Certified Professional"/>
  </r>
  <r>
    <x v="2"/>
    <x v="2"/>
    <x v="1"/>
    <n v="34"/>
    <x v="1"/>
    <x v="2"/>
    <x v="2"/>
    <x v="2"/>
    <s v="Cassandra Duncan"/>
    <s v="2022-08-10"/>
    <x v="0"/>
    <x v="2"/>
    <n v="57538"/>
    <s v="D"/>
    <n v="1674"/>
    <s v="None"/>
    <n v="8"/>
    <n v="1"/>
    <s v="None"/>
    <x v="1"/>
    <s v="Advanced Training"/>
  </r>
  <r>
    <x v="3"/>
    <x v="3"/>
    <x v="0"/>
    <n v="41"/>
    <x v="2"/>
    <x v="2"/>
    <x v="0"/>
    <x v="3"/>
    <s v="Janet Harris"/>
    <s v="2024-09-03"/>
    <x v="1"/>
    <x v="0"/>
    <n v="62993"/>
    <s v="A"/>
    <n v="2695"/>
    <s v="Health + Dental"/>
    <n v="0"/>
    <n v="2"/>
    <s v="None"/>
    <x v="2"/>
    <s v="None"/>
  </r>
  <r>
    <x v="4"/>
    <x v="4"/>
    <x v="1"/>
    <n v="56"/>
    <x v="3"/>
    <x v="0"/>
    <x v="0"/>
    <x v="2"/>
    <s v="Mr. Frank Clay"/>
    <s v="2019-03-14"/>
    <x v="1"/>
    <x v="1"/>
    <n v="45773"/>
    <s v="A"/>
    <n v="8776"/>
    <s v="Health"/>
    <n v="16"/>
    <n v="4"/>
    <s v="Leadership Training"/>
    <x v="2"/>
    <s v="None"/>
  </r>
  <r>
    <x v="5"/>
    <x v="5"/>
    <x v="0"/>
    <n v="28"/>
    <x v="1"/>
    <x v="2"/>
    <x v="3"/>
    <x v="2"/>
    <s v="Dorothy Price"/>
    <s v="2017-01-23"/>
    <x v="0"/>
    <x v="1"/>
    <n v="96249"/>
    <s v="C"/>
    <n v="4826"/>
    <s v="Health + Dental"/>
    <n v="7"/>
    <n v="3"/>
    <s v="Leadership Training"/>
    <x v="3"/>
    <s v="Certified Professional"/>
  </r>
  <r>
    <x v="6"/>
    <x v="6"/>
    <x v="0"/>
    <n v="20"/>
    <x v="0"/>
    <x v="1"/>
    <x v="2"/>
    <x v="2"/>
    <s v="Michele Sexton"/>
    <s v="2024-08-17"/>
    <x v="0"/>
    <x v="2"/>
    <n v="61596"/>
    <s v="C"/>
    <n v="8818"/>
    <s v="Health + Dental"/>
    <n v="4"/>
    <n v="2"/>
    <s v="Leadership Training"/>
    <x v="1"/>
    <s v="None"/>
  </r>
  <r>
    <x v="7"/>
    <x v="7"/>
    <x v="0"/>
    <n v="58"/>
    <x v="3"/>
    <x v="3"/>
    <x v="1"/>
    <x v="4"/>
    <s v="Richard Schmidt"/>
    <s v="2014-12-09"/>
    <x v="0"/>
    <x v="2"/>
    <n v="97869"/>
    <s v="A"/>
    <n v="1966"/>
    <s v="Health"/>
    <n v="10"/>
    <n v="1"/>
    <s v="Leadership Training"/>
    <x v="0"/>
    <s v="Certified Professional"/>
  </r>
  <r>
    <x v="8"/>
    <x v="8"/>
    <x v="0"/>
    <n v="44"/>
    <x v="2"/>
    <x v="3"/>
    <x v="2"/>
    <x v="2"/>
    <s v="Teresa Pearson"/>
    <s v="2021-06-28"/>
    <x v="0"/>
    <x v="0"/>
    <n v="81235"/>
    <s v="A"/>
    <n v="6553"/>
    <s v="None"/>
    <n v="16"/>
    <n v="2"/>
    <s v="None"/>
    <x v="1"/>
    <s v="Certified Professional"/>
  </r>
  <r>
    <x v="9"/>
    <x v="9"/>
    <x v="0"/>
    <n v="29"/>
    <x v="1"/>
    <x v="1"/>
    <x v="2"/>
    <x v="3"/>
    <s v="Laura Hart"/>
    <s v="2018-05-20"/>
    <x v="0"/>
    <x v="1"/>
    <n v="87852"/>
    <s v="A"/>
    <n v="4980"/>
    <s v="Health + Dental"/>
    <n v="19"/>
    <n v="3"/>
    <s v="None"/>
    <x v="2"/>
    <s v="Certified Professional"/>
  </r>
  <r>
    <x v="10"/>
    <x v="10"/>
    <x v="1"/>
    <n v="23"/>
    <x v="0"/>
    <x v="3"/>
    <x v="0"/>
    <x v="2"/>
    <s v="Andrea May"/>
    <s v="2017-02-13"/>
    <x v="1"/>
    <x v="1"/>
    <n v="59359"/>
    <s v="A"/>
    <n v="9449"/>
    <s v="Health + Dental"/>
    <n v="20"/>
    <n v="3"/>
    <s v="None"/>
    <x v="1"/>
    <s v="None"/>
  </r>
  <r>
    <x v="11"/>
    <x v="11"/>
    <x v="1"/>
    <n v="30"/>
    <x v="1"/>
    <x v="0"/>
    <x v="1"/>
    <x v="0"/>
    <s v="Casey Martin"/>
    <s v="2024-05-05"/>
    <x v="1"/>
    <x v="2"/>
    <n v="81225"/>
    <s v="D"/>
    <n v="6202"/>
    <s v="Health + Dental"/>
    <n v="2"/>
    <n v="2"/>
    <s v="Excel Workshop"/>
    <x v="4"/>
    <s v="Certified Professional"/>
  </r>
  <r>
    <x v="12"/>
    <x v="12"/>
    <x v="0"/>
    <n v="49"/>
    <x v="4"/>
    <x v="1"/>
    <x v="0"/>
    <x v="0"/>
    <s v="Amber Allen"/>
    <s v="2022-04-19"/>
    <x v="1"/>
    <x v="0"/>
    <n v="32788"/>
    <s v="D"/>
    <n v="4396"/>
    <s v="Health"/>
    <n v="13"/>
    <n v="5"/>
    <s v="None"/>
    <x v="3"/>
    <s v="Advanced Training"/>
  </r>
  <r>
    <x v="13"/>
    <x v="13"/>
    <x v="1"/>
    <n v="60"/>
    <x v="3"/>
    <x v="4"/>
    <x v="0"/>
    <x v="3"/>
    <s v="Adam Johnson"/>
    <s v="2015-11-16"/>
    <x v="1"/>
    <x v="2"/>
    <n v="70452"/>
    <s v="D"/>
    <n v="9911"/>
    <s v="None"/>
    <n v="2"/>
    <n v="1"/>
    <s v="None"/>
    <x v="3"/>
    <s v="Certified Professional"/>
  </r>
  <r>
    <x v="14"/>
    <x v="14"/>
    <x v="1"/>
    <n v="46"/>
    <x v="4"/>
    <x v="1"/>
    <x v="3"/>
    <x v="0"/>
    <s v="Nicole Dominguez"/>
    <s v="2023-09-09"/>
    <x v="0"/>
    <x v="1"/>
    <n v="33045"/>
    <s v="B"/>
    <n v="1456"/>
    <s v="None"/>
    <n v="16"/>
    <n v="3"/>
    <s v="Excel Workshop"/>
    <x v="3"/>
    <s v="None"/>
  </r>
  <r>
    <x v="15"/>
    <x v="15"/>
    <x v="1"/>
    <n v="57"/>
    <x v="3"/>
    <x v="2"/>
    <x v="3"/>
    <x v="1"/>
    <s v="Andrew Best"/>
    <s v="2017-12-12"/>
    <x v="2"/>
    <x v="2"/>
    <n v="96429"/>
    <s v="C"/>
    <n v="4740"/>
    <s v="None"/>
    <n v="8"/>
    <n v="1"/>
    <s v="Excel Workshop"/>
    <x v="2"/>
    <s v="None"/>
  </r>
  <r>
    <x v="16"/>
    <x v="16"/>
    <x v="0"/>
    <n v="24"/>
    <x v="0"/>
    <x v="1"/>
    <x v="2"/>
    <x v="2"/>
    <s v="Gabrielle Rodriguez"/>
    <s v="2017-03-10"/>
    <x v="2"/>
    <x v="2"/>
    <n v="33183"/>
    <s v="A"/>
    <n v="8114"/>
    <s v="None"/>
    <n v="4"/>
    <n v="2"/>
    <s v="Excel Workshop"/>
    <x v="4"/>
    <s v="Advanced Training"/>
  </r>
  <r>
    <x v="17"/>
    <x v="3"/>
    <x v="0"/>
    <n v="35"/>
    <x v="1"/>
    <x v="4"/>
    <x v="3"/>
    <x v="0"/>
    <s v="Allison Harvey"/>
    <s v="2019-03-04"/>
    <x v="2"/>
    <x v="0"/>
    <n v="75065"/>
    <s v="C"/>
    <n v="7123"/>
    <s v="None"/>
    <n v="20"/>
    <n v="2"/>
    <s v="None"/>
    <x v="0"/>
    <s v="Advanced Training"/>
  </r>
  <r>
    <x v="18"/>
    <x v="17"/>
    <x v="1"/>
    <n v="41"/>
    <x v="2"/>
    <x v="1"/>
    <x v="1"/>
    <x v="4"/>
    <s v="Tristan Mejia"/>
    <s v="2022-11-20"/>
    <x v="0"/>
    <x v="2"/>
    <n v="32877"/>
    <s v="C"/>
    <n v="6432"/>
    <s v="Health"/>
    <n v="11"/>
    <n v="1"/>
    <s v="None"/>
    <x v="0"/>
    <s v="None"/>
  </r>
  <r>
    <x v="19"/>
    <x v="18"/>
    <x v="1"/>
    <n v="36"/>
    <x v="2"/>
    <x v="1"/>
    <x v="4"/>
    <x v="3"/>
    <s v="Mary Welch"/>
    <s v="2021-03-02"/>
    <x v="0"/>
    <x v="1"/>
    <n v="46811"/>
    <s v="D"/>
    <n v="1567"/>
    <s v="None"/>
    <n v="7"/>
    <n v="3"/>
    <s v="Excel Workshop"/>
    <x v="0"/>
    <s v="Advanced Training"/>
  </r>
  <r>
    <x v="20"/>
    <x v="19"/>
    <x v="1"/>
    <n v="31"/>
    <x v="1"/>
    <x v="3"/>
    <x v="2"/>
    <x v="1"/>
    <s v="Douglas Miles"/>
    <s v="2021-08-01"/>
    <x v="1"/>
    <x v="1"/>
    <n v="87538"/>
    <s v="C"/>
    <n v="3588"/>
    <s v="Health + Dental"/>
    <n v="11"/>
    <n v="5"/>
    <s v="Excel Workshop"/>
    <x v="2"/>
    <s v="None"/>
  </r>
  <r>
    <x v="21"/>
    <x v="20"/>
    <x v="0"/>
    <n v="28"/>
    <x v="1"/>
    <x v="0"/>
    <x v="1"/>
    <x v="4"/>
    <s v="Jessica Fleming"/>
    <s v="2015-08-14"/>
    <x v="0"/>
    <x v="1"/>
    <n v="73002"/>
    <s v="C"/>
    <n v="6296"/>
    <s v="Health"/>
    <n v="2"/>
    <n v="5"/>
    <s v="Excel Workshop"/>
    <x v="1"/>
    <s v="Certified Professional"/>
  </r>
  <r>
    <x v="22"/>
    <x v="21"/>
    <x v="1"/>
    <n v="37"/>
    <x v="2"/>
    <x v="3"/>
    <x v="1"/>
    <x v="3"/>
    <s v="Christine Lee"/>
    <s v="2015-10-21"/>
    <x v="2"/>
    <x v="2"/>
    <n v="41653"/>
    <s v="D"/>
    <n v="9236"/>
    <s v="None"/>
    <n v="13"/>
    <n v="1"/>
    <s v="Excel Workshop"/>
    <x v="0"/>
    <s v="None"/>
  </r>
  <r>
    <x v="23"/>
    <x v="22"/>
    <x v="0"/>
    <n v="31"/>
    <x v="1"/>
    <x v="0"/>
    <x v="0"/>
    <x v="2"/>
    <s v="Mario Smith DVM"/>
    <s v="2015-03-14"/>
    <x v="1"/>
    <x v="1"/>
    <n v="67582"/>
    <s v="A"/>
    <n v="1375"/>
    <s v="Health"/>
    <n v="20"/>
    <n v="3"/>
    <s v="Excel Workshop"/>
    <x v="1"/>
    <s v="None"/>
  </r>
  <r>
    <x v="24"/>
    <x v="23"/>
    <x v="0"/>
    <n v="23"/>
    <x v="0"/>
    <x v="3"/>
    <x v="1"/>
    <x v="1"/>
    <s v="Joseph Francis"/>
    <s v="2024-05-22"/>
    <x v="2"/>
    <x v="1"/>
    <n v="37351"/>
    <s v="D"/>
    <n v="7858"/>
    <s v="Health + Dental"/>
    <n v="18"/>
    <n v="2"/>
    <s v="Leadership Training"/>
    <x v="1"/>
    <s v="Advanced Training"/>
  </r>
  <r>
    <x v="25"/>
    <x v="24"/>
    <x v="0"/>
    <n v="48"/>
    <x v="4"/>
    <x v="4"/>
    <x v="2"/>
    <x v="0"/>
    <s v="Sarah Young"/>
    <s v="2017-03-19"/>
    <x v="0"/>
    <x v="1"/>
    <n v="36721"/>
    <s v="B"/>
    <n v="8820"/>
    <s v="Health + Dental"/>
    <n v="0"/>
    <n v="2"/>
    <s v="Excel Workshop"/>
    <x v="1"/>
    <s v="Certified Professional"/>
  </r>
  <r>
    <x v="26"/>
    <x v="25"/>
    <x v="1"/>
    <n v="28"/>
    <x v="1"/>
    <x v="2"/>
    <x v="4"/>
    <x v="0"/>
    <s v="Aaron Hart"/>
    <s v="2021-09-15"/>
    <x v="1"/>
    <x v="2"/>
    <n v="46326"/>
    <s v="B"/>
    <n v="9189"/>
    <s v="Health + Dental"/>
    <n v="8"/>
    <n v="4"/>
    <s v="Leadership Training"/>
    <x v="3"/>
    <s v="Advanced Training"/>
  </r>
  <r>
    <x v="27"/>
    <x v="26"/>
    <x v="1"/>
    <n v="30"/>
    <x v="1"/>
    <x v="1"/>
    <x v="3"/>
    <x v="1"/>
    <s v="Brian Boyd"/>
    <s v="2022-05-09"/>
    <x v="0"/>
    <x v="0"/>
    <n v="59007"/>
    <s v="C"/>
    <n v="3380"/>
    <s v="Health"/>
    <n v="17"/>
    <n v="3"/>
    <s v="None"/>
    <x v="4"/>
    <s v="Certified Professional"/>
  </r>
  <r>
    <x v="28"/>
    <x v="27"/>
    <x v="1"/>
    <n v="46"/>
    <x v="4"/>
    <x v="3"/>
    <x v="0"/>
    <x v="3"/>
    <s v="Steven Krueger"/>
    <s v="2017-06-22"/>
    <x v="0"/>
    <x v="1"/>
    <n v="52020"/>
    <s v="B"/>
    <n v="9585"/>
    <s v="Health + Dental"/>
    <n v="0"/>
    <n v="4"/>
    <s v="Excel Workshop"/>
    <x v="4"/>
    <s v="None"/>
  </r>
  <r>
    <x v="29"/>
    <x v="28"/>
    <x v="1"/>
    <n v="44"/>
    <x v="2"/>
    <x v="1"/>
    <x v="2"/>
    <x v="1"/>
    <s v="Debra Williams"/>
    <s v="2020-11-28"/>
    <x v="2"/>
    <x v="1"/>
    <n v="98961"/>
    <s v="D"/>
    <n v="2688"/>
    <s v="Health"/>
    <n v="2"/>
    <n v="5"/>
    <s v="Excel Workshop"/>
    <x v="4"/>
    <s v="Certified Professional"/>
  </r>
  <r>
    <x v="30"/>
    <x v="29"/>
    <x v="1"/>
    <n v="45"/>
    <x v="2"/>
    <x v="2"/>
    <x v="3"/>
    <x v="2"/>
    <s v="Karen Mitchell"/>
    <s v="2015-08-30"/>
    <x v="2"/>
    <x v="1"/>
    <n v="81943"/>
    <s v="C"/>
    <n v="2255"/>
    <s v="Health"/>
    <n v="18"/>
    <n v="2"/>
    <s v="None"/>
    <x v="2"/>
    <s v="Certified Professional"/>
  </r>
  <r>
    <x v="31"/>
    <x v="30"/>
    <x v="1"/>
    <n v="52"/>
    <x v="4"/>
    <x v="4"/>
    <x v="2"/>
    <x v="1"/>
    <s v="Joseph Sanders"/>
    <s v="2018-10-27"/>
    <x v="2"/>
    <x v="1"/>
    <n v="47627"/>
    <s v="C"/>
    <n v="1221"/>
    <s v="None"/>
    <n v="4"/>
    <n v="3"/>
    <s v="None"/>
    <x v="1"/>
    <s v="None"/>
  </r>
  <r>
    <x v="32"/>
    <x v="31"/>
    <x v="0"/>
    <n v="52"/>
    <x v="4"/>
    <x v="0"/>
    <x v="0"/>
    <x v="4"/>
    <s v="Shelly George"/>
    <s v="2018-08-26"/>
    <x v="2"/>
    <x v="1"/>
    <n v="56162"/>
    <s v="D"/>
    <n v="6560"/>
    <s v="Health + Dental"/>
    <n v="9"/>
    <n v="4"/>
    <s v="Excel Workshop"/>
    <x v="3"/>
    <s v="None"/>
  </r>
  <r>
    <x v="33"/>
    <x v="32"/>
    <x v="0"/>
    <n v="42"/>
    <x v="2"/>
    <x v="1"/>
    <x v="2"/>
    <x v="2"/>
    <s v="Nicole Houston"/>
    <s v="2023-07-24"/>
    <x v="1"/>
    <x v="2"/>
    <n v="95734"/>
    <s v="C"/>
    <n v="4854"/>
    <s v="Health"/>
    <n v="13"/>
    <n v="2"/>
    <s v="Leadership Training"/>
    <x v="0"/>
    <s v="Certified Professional"/>
  </r>
  <r>
    <x v="34"/>
    <x v="33"/>
    <x v="1"/>
    <n v="58"/>
    <x v="3"/>
    <x v="1"/>
    <x v="1"/>
    <x v="3"/>
    <s v="Kristin Shaffer"/>
    <s v="2018-07-09"/>
    <x v="1"/>
    <x v="2"/>
    <n v="74789"/>
    <s v="C"/>
    <n v="8101"/>
    <s v="Health + Dental"/>
    <n v="14"/>
    <n v="5"/>
    <s v="Excel Workshop"/>
    <x v="2"/>
    <s v="None"/>
  </r>
  <r>
    <x v="35"/>
    <x v="34"/>
    <x v="0"/>
    <n v="24"/>
    <x v="0"/>
    <x v="4"/>
    <x v="0"/>
    <x v="3"/>
    <s v="Joel Aguilar"/>
    <s v="2016-12-21"/>
    <x v="0"/>
    <x v="2"/>
    <n v="30137"/>
    <s v="B"/>
    <n v="4031"/>
    <s v="None"/>
    <n v="5"/>
    <n v="3"/>
    <s v="None"/>
    <x v="1"/>
    <s v="Certified Professional"/>
  </r>
  <r>
    <x v="36"/>
    <x v="35"/>
    <x v="1"/>
    <n v="21"/>
    <x v="0"/>
    <x v="1"/>
    <x v="0"/>
    <x v="0"/>
    <s v="Michael Wade"/>
    <s v="2019-06-27"/>
    <x v="0"/>
    <x v="2"/>
    <n v="95510"/>
    <s v="C"/>
    <n v="6811"/>
    <s v="Health"/>
    <n v="18"/>
    <n v="4"/>
    <s v="Excel Workshop"/>
    <x v="4"/>
    <s v="Certified Professional"/>
  </r>
  <r>
    <x v="37"/>
    <x v="36"/>
    <x v="1"/>
    <n v="58"/>
    <x v="3"/>
    <x v="1"/>
    <x v="3"/>
    <x v="0"/>
    <s v="Jessica Walsh"/>
    <s v="2021-08-27"/>
    <x v="1"/>
    <x v="0"/>
    <n v="80325"/>
    <s v="B"/>
    <n v="6230"/>
    <s v="Health"/>
    <n v="5"/>
    <n v="4"/>
    <s v="None"/>
    <x v="2"/>
    <s v="Advanced Training"/>
  </r>
  <r>
    <x v="38"/>
    <x v="37"/>
    <x v="0"/>
    <n v="57"/>
    <x v="3"/>
    <x v="3"/>
    <x v="4"/>
    <x v="4"/>
    <s v="Kelly Mack"/>
    <s v="2017-05-28"/>
    <x v="2"/>
    <x v="1"/>
    <n v="34109"/>
    <s v="B"/>
    <n v="9232"/>
    <s v="Health"/>
    <n v="13"/>
    <n v="3"/>
    <s v="Leadership Training"/>
    <x v="0"/>
    <s v="Certified Professional"/>
  </r>
  <r>
    <x v="39"/>
    <x v="38"/>
    <x v="1"/>
    <n v="41"/>
    <x v="2"/>
    <x v="3"/>
    <x v="3"/>
    <x v="0"/>
    <s v="John Conley"/>
    <s v="2022-01-30"/>
    <x v="2"/>
    <x v="2"/>
    <n v="73330"/>
    <s v="C"/>
    <n v="2276"/>
    <s v="Health + Dental"/>
    <n v="5"/>
    <n v="1"/>
    <s v="None"/>
    <x v="1"/>
    <s v="Advanced Training"/>
  </r>
  <r>
    <x v="40"/>
    <x v="39"/>
    <x v="0"/>
    <n v="58"/>
    <x v="3"/>
    <x v="2"/>
    <x v="2"/>
    <x v="1"/>
    <s v="Aaron Baker"/>
    <s v="2017-04-20"/>
    <x v="1"/>
    <x v="2"/>
    <n v="46567"/>
    <s v="A"/>
    <n v="2825"/>
    <s v="Health"/>
    <n v="15"/>
    <n v="3"/>
    <s v="None"/>
    <x v="4"/>
    <s v="Advanced Training"/>
  </r>
  <r>
    <x v="41"/>
    <x v="40"/>
    <x v="0"/>
    <n v="36"/>
    <x v="2"/>
    <x v="0"/>
    <x v="4"/>
    <x v="0"/>
    <s v="Christopher Bass"/>
    <s v="2019-07-22"/>
    <x v="1"/>
    <x v="1"/>
    <n v="39795"/>
    <s v="A"/>
    <n v="1670"/>
    <s v="None"/>
    <n v="0"/>
    <n v="2"/>
    <s v="Excel Workshop"/>
    <x v="3"/>
    <s v="None"/>
  </r>
  <r>
    <x v="42"/>
    <x v="41"/>
    <x v="0"/>
    <n v="21"/>
    <x v="0"/>
    <x v="0"/>
    <x v="0"/>
    <x v="4"/>
    <s v="Sean Tucker PhD"/>
    <s v="2018-11-29"/>
    <x v="1"/>
    <x v="2"/>
    <n v="59506"/>
    <s v="A"/>
    <n v="4428"/>
    <s v="Health + Dental"/>
    <n v="0"/>
    <n v="1"/>
    <s v="None"/>
    <x v="3"/>
    <s v="Certified Professional"/>
  </r>
  <r>
    <x v="43"/>
    <x v="42"/>
    <x v="0"/>
    <n v="46"/>
    <x v="4"/>
    <x v="2"/>
    <x v="1"/>
    <x v="4"/>
    <s v="Jacob Scott"/>
    <s v="2022-11-14"/>
    <x v="1"/>
    <x v="2"/>
    <n v="49058"/>
    <s v="B"/>
    <n v="4396"/>
    <s v="None"/>
    <n v="5"/>
    <n v="1"/>
    <s v="None"/>
    <x v="3"/>
    <s v="None"/>
  </r>
  <r>
    <x v="44"/>
    <x v="43"/>
    <x v="0"/>
    <n v="36"/>
    <x v="2"/>
    <x v="3"/>
    <x v="2"/>
    <x v="4"/>
    <s v="Joel Park"/>
    <s v="2016-02-23"/>
    <x v="1"/>
    <x v="0"/>
    <n v="98612"/>
    <s v="A"/>
    <n v="1168"/>
    <s v="None"/>
    <n v="9"/>
    <n v="2"/>
    <s v="Excel Workshop"/>
    <x v="0"/>
    <s v="Certified Professional"/>
  </r>
  <r>
    <x v="45"/>
    <x v="44"/>
    <x v="1"/>
    <n v="41"/>
    <x v="2"/>
    <x v="4"/>
    <x v="3"/>
    <x v="1"/>
    <s v="Russell Marshall"/>
    <s v="2018-05-18"/>
    <x v="2"/>
    <x v="1"/>
    <n v="38201"/>
    <s v="A"/>
    <n v="7111"/>
    <s v="Health"/>
    <n v="8"/>
    <n v="4"/>
    <s v="Leadership Training"/>
    <x v="3"/>
    <s v="None"/>
  </r>
  <r>
    <x v="46"/>
    <x v="45"/>
    <x v="1"/>
    <n v="25"/>
    <x v="0"/>
    <x v="0"/>
    <x v="2"/>
    <x v="2"/>
    <s v="James Holden"/>
    <s v="2024-03-09"/>
    <x v="2"/>
    <x v="1"/>
    <n v="92919"/>
    <s v="D"/>
    <n v="9497"/>
    <s v="Health"/>
    <n v="7"/>
    <n v="2"/>
    <s v="None"/>
    <x v="3"/>
    <s v="Advanced Training"/>
  </r>
  <r>
    <x v="47"/>
    <x v="46"/>
    <x v="0"/>
    <n v="29"/>
    <x v="1"/>
    <x v="4"/>
    <x v="0"/>
    <x v="1"/>
    <s v="Thomas Murphy"/>
    <s v="2024-03-27"/>
    <x v="0"/>
    <x v="2"/>
    <n v="45188"/>
    <s v="A"/>
    <n v="9591"/>
    <s v="Health + Dental"/>
    <n v="18"/>
    <n v="3"/>
    <s v="Leadership Training"/>
    <x v="3"/>
    <s v="None"/>
  </r>
  <r>
    <x v="48"/>
    <x v="47"/>
    <x v="0"/>
    <n v="59"/>
    <x v="3"/>
    <x v="2"/>
    <x v="1"/>
    <x v="0"/>
    <s v="Mark Abbott"/>
    <s v="2019-12-23"/>
    <x v="0"/>
    <x v="1"/>
    <n v="34927"/>
    <s v="D"/>
    <n v="6996"/>
    <s v="Health + Dental"/>
    <n v="16"/>
    <n v="1"/>
    <s v="Excel Workshop"/>
    <x v="0"/>
    <s v="Certified Professional"/>
  </r>
  <r>
    <x v="49"/>
    <x v="48"/>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66B5AE-1B42-473E-B228-229B362CE5B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B54"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EFDEE6-CA32-4C13-9D31-E35EF1E210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3"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DA9FED-0842-4B40-B860-CD30380B18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D33" firstHeaderRow="1" firstDataRow="2" firstDataCol="1"/>
  <pivotFields count="21">
    <pivotField showAll="0">
      <items count="51">
        <item x="36"/>
        <item x="47"/>
        <item x="40"/>
        <item x="20"/>
        <item x="13"/>
        <item x="5"/>
        <item x="42"/>
        <item x="24"/>
        <item x="27"/>
        <item x="34"/>
        <item x="6"/>
        <item x="7"/>
        <item x="0"/>
        <item x="14"/>
        <item x="41"/>
        <item x="26"/>
        <item x="19"/>
        <item x="2"/>
        <item x="16"/>
        <item x="8"/>
        <item x="49"/>
        <item x="48"/>
        <item x="29"/>
        <item x="15"/>
        <item x="17"/>
        <item x="23"/>
        <item x="10"/>
        <item x="43"/>
        <item x="21"/>
        <item x="30"/>
        <item x="44"/>
        <item x="32"/>
        <item x="38"/>
        <item x="3"/>
        <item x="28"/>
        <item x="35"/>
        <item x="22"/>
        <item x="39"/>
        <item x="25"/>
        <item x="46"/>
        <item x="11"/>
        <item x="1"/>
        <item x="45"/>
        <item x="4"/>
        <item x="33"/>
        <item x="12"/>
        <item x="31"/>
        <item x="9"/>
        <item x="18"/>
        <item x="37"/>
        <item t="default"/>
      </items>
    </pivotField>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CC7622-3439-46AA-97D9-2EBA6312C3C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9:Q55"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
    <format dxfId="12">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EE5A9C-BE3D-4334-8042-F314162A77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8:H54"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F36AF4-5640-4CD9-B608-9170CE9B9A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21"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5DBD75-0927-4DD7-9722-96BB9259E3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D341D09-6E32-4A22-A0ED-AA9105B8725C}" sourceName="Gender">
  <pivotTables>
    <pivotTable tabId="4" name="PivotTable3"/>
    <pivotTable tabId="4" name="PivotTable1"/>
    <pivotTable tabId="4" name="PivotTable12"/>
    <pivotTable tabId="4" name="PivotTable2"/>
    <pivotTable tabId="4" name="PivotTable5"/>
    <pivotTable tabId="4" name="PivotTable6"/>
    <pivotTable tabId="4" name="PivotTable9"/>
  </pivotTables>
  <data>
    <tabular pivotCacheId="19873502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6677FDB-5D66-4DD3-8CE2-5794C1B1479C}" sourceName="Department">
  <pivotTables>
    <pivotTable tabId="4" name="PivotTable3"/>
    <pivotTable tabId="4" name="PivotTable1"/>
    <pivotTable tabId="4" name="PivotTable12"/>
    <pivotTable tabId="4" name="PivotTable2"/>
    <pivotTable tabId="4" name="PivotTable5"/>
    <pivotTable tabId="4" name="PivotTable6"/>
    <pivotTable tabId="4" name="PivotTable9"/>
  </pivotTables>
  <data>
    <tabular pivotCacheId="1987350295">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CA96253-58B8-4DBB-87D9-2856D20DE063}" cache="Slicer_Gender" caption="Gender" columnCount="2" style="Slicer Style 1" rowHeight="252000"/>
  <slicer name="Department 1" xr10:uid="{87001065-B0B2-46C2-BAFD-5574BAC7E9EB}" cache="Slicer_Department" caption="Department" columnCount="3" style="Slicer Style 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D609FF7-B8D8-4D9C-8A02-2C7A6ADDCF0F}" cache="Slicer_Gender" caption="Gender" rowHeight="247650"/>
  <slicer name="Department" xr10:uid="{141B6CEC-4EF8-4895-975A-DAF7D935D797}" cache="Slicer_Department" caption="Depart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35" dataDxfId="34">
  <autoFilter ref="A1:U51" xr:uid="{BD7F130C-4931-4EC9-8AE2-A64F6556D3A3}"/>
  <tableColumns count="21">
    <tableColumn id="1" xr3:uid="{6BDBB43D-1DF4-4FF3-9C56-0E3D699A83FC}" name="Employee ID" dataDxfId="33"/>
    <tableColumn id="2" xr3:uid="{363D91B7-21AD-4B4B-86DE-95D24769EAA5}" name="Full Name" dataDxfId="32"/>
    <tableColumn id="3" xr3:uid="{728245EC-9766-45F5-9851-7FEFEFBE2652}" name="Gender" dataDxfId="31"/>
    <tableColumn id="4" xr3:uid="{DD8A90D1-163F-4B0E-A039-9E7A16AFC106}" name="Age" dataDxfId="30"/>
    <tableColumn id="5" xr3:uid="{0672993B-A00D-49AE-84B7-674089468A17}" name="Age range" dataDxfId="29"/>
    <tableColumn id="6" xr3:uid="{B1ADEE80-60F1-4EE3-B3FB-8484EE6C17B3}" name="Region" dataDxfId="28"/>
    <tableColumn id="7" xr3:uid="{8E0A56EE-3456-4513-ADA0-27F6CAA8C17B}" name="Job Title" dataDxfId="27"/>
    <tableColumn id="8" xr3:uid="{0D9D5DB9-01CB-4300-B0CD-256901621ADC}" name="Department" dataDxfId="26"/>
    <tableColumn id="9" xr3:uid="{9EBDAC3F-6A39-4A78-B562-848691EE3AD1}" name="Manager/Supervisor" dataDxfId="25"/>
    <tableColumn id="10" xr3:uid="{AF849F24-150A-4123-B3F8-A46B4D4F7BC6}" name="Date of Hire" dataDxfId="24"/>
    <tableColumn id="11" xr3:uid="{8C57202E-334A-462A-9C44-E5E2468122E4}" name="Employment Status" dataDxfId="23"/>
    <tableColumn id="12" xr3:uid="{8A07812C-245C-4D55-A210-3AE7E0BB84EB}" name="Work Location" dataDxfId="22"/>
    <tableColumn id="13" xr3:uid="{6441036C-01DD-4130-8E4B-DBA441BCB744}" name="Salary" dataDxfId="21"/>
    <tableColumn id="14" xr3:uid="{ADCF531A-A98E-422C-939D-04D58C2423FB}" name="Pay Grade" dataDxfId="20"/>
    <tableColumn id="15" xr3:uid="{DE922695-AE31-4F31-8F89-61E6E7E646AB}" name="Bonus/Allowances" dataDxfId="19"/>
    <tableColumn id="16" xr3:uid="{62F2B816-9954-4A01-AEDC-4C13B3A2A52F}" name="Insurance Details" dataDxfId="18"/>
    <tableColumn id="17" xr3:uid="{6EFEC335-9B75-45D5-B403-A8A9E557BE24}" name="Leave Taken" dataDxfId="17"/>
    <tableColumn id="18" xr3:uid="{9DA1B78E-154E-42E4-A1BC-FE1CF363DCBA}" name="Performance Rating" dataDxfId="16"/>
    <tableColumn id="19" xr3:uid="{7E4B5E79-5639-4E3A-91A1-D1D8767BB705}" name="Training Programs Attended" dataDxfId="15"/>
    <tableColumn id="20" xr3:uid="{2E731344-8C6D-4001-9E36-F16B80500F61}" name="Skills" dataDxfId="14"/>
    <tableColumn id="21" xr3:uid="{9DCE550B-F788-4423-B330-CAB70C041DFC}" name="Certifications" dataDxfId="1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Q26" workbookViewId="0">
      <selection activeCell="Q1" sqref="A1:U51"/>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0C10A-CA11-4608-B6F9-9FFD491CE89F}">
  <dimension ref="A1:U51"/>
  <sheetViews>
    <sheetView topLeftCell="J1" workbookViewId="0">
      <selection activeCell="C19" sqref="C19"/>
    </sheetView>
  </sheetViews>
  <sheetFormatPr defaultRowHeight="14.4"/>
  <cols>
    <col min="1" max="1" width="11.6640625" customWidth="1"/>
    <col min="2" max="2" width="14.77734375" customWidth="1"/>
    <col min="3" max="3" width="10.21875" customWidth="1"/>
    <col min="6" max="6" width="10.88671875" customWidth="1"/>
    <col min="7" max="7" width="13.77734375" customWidth="1"/>
    <col min="8" max="8" width="12.44140625" customWidth="1"/>
    <col min="9" max="9" width="20.44140625" customWidth="1"/>
    <col min="10" max="10" width="14.77734375" customWidth="1"/>
    <col min="11" max="11" width="13.5546875" customWidth="1"/>
    <col min="12" max="12" width="15.21875" customWidth="1"/>
    <col min="15" max="15" width="13.109375" customWidth="1"/>
    <col min="16" max="16" width="14.44140625" customWidth="1"/>
    <col min="17" max="17" width="11.5546875" customWidth="1"/>
    <col min="18" max="18" width="11.109375" customWidth="1"/>
    <col min="19" max="19" width="17.5546875" customWidth="1"/>
    <col min="20" max="20" width="13.44140625" customWidth="1"/>
    <col min="21" max="21" width="25.886718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4294</v>
      </c>
      <c r="B2" t="s">
        <v>21</v>
      </c>
      <c r="C2" t="s">
        <v>22</v>
      </c>
      <c r="D2">
        <v>25</v>
      </c>
      <c r="E2" t="s">
        <v>23</v>
      </c>
      <c r="F2" t="s">
        <v>24</v>
      </c>
      <c r="G2" t="s">
        <v>25</v>
      </c>
      <c r="H2" t="s">
        <v>26</v>
      </c>
      <c r="I2" t="s">
        <v>27</v>
      </c>
      <c r="J2" t="s">
        <v>28</v>
      </c>
      <c r="K2" t="s">
        <v>29</v>
      </c>
      <c r="L2" t="s">
        <v>30</v>
      </c>
      <c r="M2">
        <v>53700</v>
      </c>
      <c r="N2" t="s">
        <v>31</v>
      </c>
      <c r="O2">
        <v>1463</v>
      </c>
      <c r="P2" t="s">
        <v>32</v>
      </c>
      <c r="Q2">
        <v>1</v>
      </c>
      <c r="R2">
        <v>1</v>
      </c>
      <c r="S2" t="s">
        <v>33</v>
      </c>
      <c r="T2" t="s">
        <v>34</v>
      </c>
      <c r="U2" t="s">
        <v>35</v>
      </c>
    </row>
    <row r="3" spans="1:21">
      <c r="A3">
        <v>9116</v>
      </c>
      <c r="B3" t="s">
        <v>36</v>
      </c>
      <c r="C3" t="s">
        <v>37</v>
      </c>
      <c r="D3">
        <v>27</v>
      </c>
      <c r="E3" t="s">
        <v>38</v>
      </c>
      <c r="F3" t="s">
        <v>39</v>
      </c>
      <c r="G3" t="s">
        <v>40</v>
      </c>
      <c r="H3" t="s">
        <v>41</v>
      </c>
      <c r="I3" t="s">
        <v>42</v>
      </c>
      <c r="J3" t="s">
        <v>43</v>
      </c>
      <c r="K3" t="s">
        <v>29</v>
      </c>
      <c r="L3" t="s">
        <v>44</v>
      </c>
      <c r="M3">
        <v>91091</v>
      </c>
      <c r="N3" t="s">
        <v>45</v>
      </c>
      <c r="O3">
        <v>1024</v>
      </c>
      <c r="P3" t="s">
        <v>46</v>
      </c>
      <c r="Q3">
        <v>19</v>
      </c>
      <c r="R3">
        <v>4</v>
      </c>
      <c r="S3" t="s">
        <v>47</v>
      </c>
      <c r="T3" t="s">
        <v>34</v>
      </c>
      <c r="U3" t="s">
        <v>35</v>
      </c>
    </row>
    <row r="4" spans="1:21">
      <c r="A4">
        <v>5120</v>
      </c>
      <c r="B4" t="s">
        <v>48</v>
      </c>
      <c r="C4" t="s">
        <v>37</v>
      </c>
      <c r="D4">
        <v>34</v>
      </c>
      <c r="E4" t="s">
        <v>38</v>
      </c>
      <c r="F4" t="s">
        <v>49</v>
      </c>
      <c r="G4" t="s">
        <v>50</v>
      </c>
      <c r="H4" t="s">
        <v>51</v>
      </c>
      <c r="I4" t="s">
        <v>52</v>
      </c>
      <c r="J4" t="s">
        <v>53</v>
      </c>
      <c r="K4" t="s">
        <v>29</v>
      </c>
      <c r="L4" t="s">
        <v>54</v>
      </c>
      <c r="M4">
        <v>57538</v>
      </c>
      <c r="N4" t="s">
        <v>55</v>
      </c>
      <c r="O4">
        <v>1674</v>
      </c>
      <c r="P4" t="s">
        <v>46</v>
      </c>
      <c r="Q4">
        <v>8</v>
      </c>
      <c r="R4">
        <v>1</v>
      </c>
      <c r="S4" t="s">
        <v>46</v>
      </c>
      <c r="T4" t="s">
        <v>56</v>
      </c>
      <c r="U4" t="s">
        <v>57</v>
      </c>
    </row>
    <row r="5" spans="1:21">
      <c r="A5">
        <v>8071</v>
      </c>
      <c r="B5" t="s">
        <v>58</v>
      </c>
      <c r="C5" t="s">
        <v>22</v>
      </c>
      <c r="D5">
        <v>41</v>
      </c>
      <c r="E5" t="s">
        <v>59</v>
      </c>
      <c r="F5" t="s">
        <v>49</v>
      </c>
      <c r="G5" t="s">
        <v>25</v>
      </c>
      <c r="H5" t="s">
        <v>60</v>
      </c>
      <c r="I5" t="s">
        <v>61</v>
      </c>
      <c r="J5" t="s">
        <v>62</v>
      </c>
      <c r="K5" t="s">
        <v>63</v>
      </c>
      <c r="L5" t="s">
        <v>30</v>
      </c>
      <c r="M5">
        <v>62993</v>
      </c>
      <c r="N5" t="s">
        <v>64</v>
      </c>
      <c r="O5">
        <v>2695</v>
      </c>
      <c r="P5" t="s">
        <v>65</v>
      </c>
      <c r="Q5">
        <v>0</v>
      </c>
      <c r="R5">
        <v>2</v>
      </c>
      <c r="S5" t="s">
        <v>46</v>
      </c>
      <c r="T5" t="s">
        <v>66</v>
      </c>
      <c r="U5" t="s">
        <v>46</v>
      </c>
    </row>
    <row r="6" spans="1:21">
      <c r="A6">
        <v>9351</v>
      </c>
      <c r="B6" t="s">
        <v>67</v>
      </c>
      <c r="C6" t="s">
        <v>37</v>
      </c>
      <c r="D6">
        <v>56</v>
      </c>
      <c r="E6" t="s">
        <v>68</v>
      </c>
      <c r="F6" t="s">
        <v>24</v>
      </c>
      <c r="G6" t="s">
        <v>25</v>
      </c>
      <c r="H6" t="s">
        <v>51</v>
      </c>
      <c r="I6" t="s">
        <v>69</v>
      </c>
      <c r="J6" t="s">
        <v>70</v>
      </c>
      <c r="K6" t="s">
        <v>63</v>
      </c>
      <c r="L6" t="s">
        <v>44</v>
      </c>
      <c r="M6">
        <v>45773</v>
      </c>
      <c r="N6" t="s">
        <v>64</v>
      </c>
      <c r="O6">
        <v>8776</v>
      </c>
      <c r="P6" t="s">
        <v>32</v>
      </c>
      <c r="Q6">
        <v>16</v>
      </c>
      <c r="R6">
        <v>4</v>
      </c>
      <c r="S6" t="s">
        <v>33</v>
      </c>
      <c r="T6" t="s">
        <v>66</v>
      </c>
      <c r="U6" t="s">
        <v>46</v>
      </c>
    </row>
    <row r="7" spans="1:21">
      <c r="A7">
        <v>2873</v>
      </c>
      <c r="B7" t="s">
        <v>71</v>
      </c>
      <c r="C7" t="s">
        <v>22</v>
      </c>
      <c r="D7">
        <v>28</v>
      </c>
      <c r="E7" t="s">
        <v>38</v>
      </c>
      <c r="F7" t="s">
        <v>49</v>
      </c>
      <c r="G7" t="s">
        <v>72</v>
      </c>
      <c r="H7" t="s">
        <v>51</v>
      </c>
      <c r="I7" t="s">
        <v>73</v>
      </c>
      <c r="J7" t="s">
        <v>74</v>
      </c>
      <c r="K7" t="s">
        <v>29</v>
      </c>
      <c r="L7" t="s">
        <v>44</v>
      </c>
      <c r="M7">
        <v>96249</v>
      </c>
      <c r="N7" t="s">
        <v>31</v>
      </c>
      <c r="O7">
        <v>4826</v>
      </c>
      <c r="P7" t="s">
        <v>65</v>
      </c>
      <c r="Q7">
        <v>7</v>
      </c>
      <c r="R7">
        <v>3</v>
      </c>
      <c r="S7" t="s">
        <v>33</v>
      </c>
      <c r="T7" t="s">
        <v>75</v>
      </c>
      <c r="U7" t="s">
        <v>35</v>
      </c>
    </row>
    <row r="8" spans="1:21">
      <c r="A8">
        <v>3540</v>
      </c>
      <c r="B8" t="s">
        <v>76</v>
      </c>
      <c r="C8" t="s">
        <v>22</v>
      </c>
      <c r="D8">
        <v>20</v>
      </c>
      <c r="E8" t="s">
        <v>23</v>
      </c>
      <c r="F8" t="s">
        <v>39</v>
      </c>
      <c r="G8" t="s">
        <v>50</v>
      </c>
      <c r="H8" t="s">
        <v>51</v>
      </c>
      <c r="I8" t="s">
        <v>77</v>
      </c>
      <c r="J8" t="s">
        <v>78</v>
      </c>
      <c r="K8" t="s">
        <v>29</v>
      </c>
      <c r="L8" t="s">
        <v>54</v>
      </c>
      <c r="M8">
        <v>61596</v>
      </c>
      <c r="N8" t="s">
        <v>31</v>
      </c>
      <c r="O8">
        <v>8818</v>
      </c>
      <c r="P8" t="s">
        <v>65</v>
      </c>
      <c r="Q8">
        <v>4</v>
      </c>
      <c r="R8">
        <v>2</v>
      </c>
      <c r="S8" t="s">
        <v>33</v>
      </c>
      <c r="T8" t="s">
        <v>56</v>
      </c>
      <c r="U8" t="s">
        <v>46</v>
      </c>
    </row>
    <row r="9" spans="1:21">
      <c r="A9">
        <v>3653</v>
      </c>
      <c r="B9" t="s">
        <v>79</v>
      </c>
      <c r="C9" t="s">
        <v>22</v>
      </c>
      <c r="D9">
        <v>58</v>
      </c>
      <c r="E9" t="s">
        <v>68</v>
      </c>
      <c r="F9" t="s">
        <v>80</v>
      </c>
      <c r="G9" t="s">
        <v>40</v>
      </c>
      <c r="H9" t="s">
        <v>81</v>
      </c>
      <c r="I9" t="s">
        <v>82</v>
      </c>
      <c r="J9" t="s">
        <v>83</v>
      </c>
      <c r="K9" t="s">
        <v>29</v>
      </c>
      <c r="L9" t="s">
        <v>54</v>
      </c>
      <c r="M9">
        <v>97869</v>
      </c>
      <c r="N9" t="s">
        <v>64</v>
      </c>
      <c r="O9">
        <v>1966</v>
      </c>
      <c r="P9" t="s">
        <v>32</v>
      </c>
      <c r="Q9">
        <v>10</v>
      </c>
      <c r="R9">
        <v>1</v>
      </c>
      <c r="S9" t="s">
        <v>33</v>
      </c>
      <c r="T9" t="s">
        <v>34</v>
      </c>
      <c r="U9" t="s">
        <v>35</v>
      </c>
    </row>
    <row r="10" spans="1:21">
      <c r="A10">
        <v>5587</v>
      </c>
      <c r="B10" t="s">
        <v>84</v>
      </c>
      <c r="C10" t="s">
        <v>22</v>
      </c>
      <c r="D10">
        <v>44</v>
      </c>
      <c r="E10" t="s">
        <v>59</v>
      </c>
      <c r="F10" t="s">
        <v>80</v>
      </c>
      <c r="G10" t="s">
        <v>50</v>
      </c>
      <c r="H10" t="s">
        <v>51</v>
      </c>
      <c r="I10" t="s">
        <v>85</v>
      </c>
      <c r="J10" t="s">
        <v>86</v>
      </c>
      <c r="K10" t="s">
        <v>29</v>
      </c>
      <c r="L10" t="s">
        <v>30</v>
      </c>
      <c r="M10">
        <v>81235</v>
      </c>
      <c r="N10" t="s">
        <v>64</v>
      </c>
      <c r="O10">
        <v>6553</v>
      </c>
      <c r="P10" t="s">
        <v>46</v>
      </c>
      <c r="Q10">
        <v>16</v>
      </c>
      <c r="R10">
        <v>2</v>
      </c>
      <c r="S10" t="s">
        <v>46</v>
      </c>
      <c r="T10" t="s">
        <v>56</v>
      </c>
      <c r="U10" t="s">
        <v>35</v>
      </c>
    </row>
    <row r="11" spans="1:21">
      <c r="A11">
        <v>9554</v>
      </c>
      <c r="B11" t="s">
        <v>87</v>
      </c>
      <c r="C11" t="s">
        <v>22</v>
      </c>
      <c r="D11">
        <v>29</v>
      </c>
      <c r="E11" t="s">
        <v>38</v>
      </c>
      <c r="F11" t="s">
        <v>39</v>
      </c>
      <c r="G11" t="s">
        <v>50</v>
      </c>
      <c r="H11" t="s">
        <v>60</v>
      </c>
      <c r="I11" t="s">
        <v>88</v>
      </c>
      <c r="J11" t="s">
        <v>89</v>
      </c>
      <c r="K11" t="s">
        <v>29</v>
      </c>
      <c r="L11" t="s">
        <v>44</v>
      </c>
      <c r="M11">
        <v>87852</v>
      </c>
      <c r="N11" t="s">
        <v>64</v>
      </c>
      <c r="O11">
        <v>4980</v>
      </c>
      <c r="P11" t="s">
        <v>65</v>
      </c>
      <c r="Q11">
        <v>19</v>
      </c>
      <c r="R11">
        <v>3</v>
      </c>
      <c r="S11" t="s">
        <v>46</v>
      </c>
      <c r="T11" t="s">
        <v>66</v>
      </c>
      <c r="U11" t="s">
        <v>35</v>
      </c>
    </row>
    <row r="12" spans="1:21">
      <c r="A12">
        <v>6213</v>
      </c>
      <c r="B12" t="s">
        <v>90</v>
      </c>
      <c r="C12" t="s">
        <v>37</v>
      </c>
      <c r="D12">
        <v>23</v>
      </c>
      <c r="E12" t="s">
        <v>23</v>
      </c>
      <c r="F12" t="s">
        <v>80</v>
      </c>
      <c r="G12" t="s">
        <v>25</v>
      </c>
      <c r="H12" t="s">
        <v>51</v>
      </c>
      <c r="I12" t="s">
        <v>91</v>
      </c>
      <c r="J12" t="s">
        <v>92</v>
      </c>
      <c r="K12" t="s">
        <v>63</v>
      </c>
      <c r="L12" t="s">
        <v>44</v>
      </c>
      <c r="M12">
        <v>59359</v>
      </c>
      <c r="N12" t="s">
        <v>64</v>
      </c>
      <c r="O12">
        <v>9449</v>
      </c>
      <c r="P12" t="s">
        <v>65</v>
      </c>
      <c r="Q12">
        <v>20</v>
      </c>
      <c r="R12">
        <v>3</v>
      </c>
      <c r="S12" t="s">
        <v>46</v>
      </c>
      <c r="T12" t="s">
        <v>56</v>
      </c>
      <c r="U12" t="s">
        <v>46</v>
      </c>
    </row>
    <row r="13" spans="1:21">
      <c r="A13">
        <v>9105</v>
      </c>
      <c r="B13" t="s">
        <v>93</v>
      </c>
      <c r="C13" t="s">
        <v>37</v>
      </c>
      <c r="D13">
        <v>30</v>
      </c>
      <c r="E13" t="s">
        <v>38</v>
      </c>
      <c r="F13" t="s">
        <v>24</v>
      </c>
      <c r="G13" t="s">
        <v>40</v>
      </c>
      <c r="H13" t="s">
        <v>26</v>
      </c>
      <c r="I13" t="s">
        <v>94</v>
      </c>
      <c r="J13" t="s">
        <v>95</v>
      </c>
      <c r="K13" t="s">
        <v>63</v>
      </c>
      <c r="L13" t="s">
        <v>54</v>
      </c>
      <c r="M13">
        <v>81225</v>
      </c>
      <c r="N13" t="s">
        <v>55</v>
      </c>
      <c r="O13">
        <v>6202</v>
      </c>
      <c r="P13" t="s">
        <v>65</v>
      </c>
      <c r="Q13">
        <v>2</v>
      </c>
      <c r="R13">
        <v>2</v>
      </c>
      <c r="S13" t="s">
        <v>47</v>
      </c>
      <c r="T13" t="s">
        <v>96</v>
      </c>
      <c r="U13" t="s">
        <v>35</v>
      </c>
    </row>
    <row r="14" spans="1:21">
      <c r="A14">
        <v>9508</v>
      </c>
      <c r="B14" t="s">
        <v>97</v>
      </c>
      <c r="C14" t="s">
        <v>22</v>
      </c>
      <c r="D14">
        <v>49</v>
      </c>
      <c r="E14" t="s">
        <v>98</v>
      </c>
      <c r="F14" t="s">
        <v>39</v>
      </c>
      <c r="G14" t="s">
        <v>25</v>
      </c>
      <c r="H14" t="s">
        <v>26</v>
      </c>
      <c r="I14" t="s">
        <v>99</v>
      </c>
      <c r="J14" t="s">
        <v>100</v>
      </c>
      <c r="K14" t="s">
        <v>63</v>
      </c>
      <c r="L14" t="s">
        <v>30</v>
      </c>
      <c r="M14">
        <v>32788</v>
      </c>
      <c r="N14" t="s">
        <v>55</v>
      </c>
      <c r="O14">
        <v>4396</v>
      </c>
      <c r="P14" t="s">
        <v>32</v>
      </c>
      <c r="Q14">
        <v>13</v>
      </c>
      <c r="R14">
        <v>5</v>
      </c>
      <c r="S14" t="s">
        <v>46</v>
      </c>
      <c r="T14" t="s">
        <v>75</v>
      </c>
      <c r="U14" t="s">
        <v>57</v>
      </c>
    </row>
    <row r="15" spans="1:21">
      <c r="A15">
        <v>2436</v>
      </c>
      <c r="B15" t="s">
        <v>101</v>
      </c>
      <c r="C15" t="s">
        <v>37</v>
      </c>
      <c r="D15">
        <v>60</v>
      </c>
      <c r="E15" t="s">
        <v>68</v>
      </c>
      <c r="F15" t="s">
        <v>102</v>
      </c>
      <c r="G15" t="s">
        <v>25</v>
      </c>
      <c r="H15" t="s">
        <v>60</v>
      </c>
      <c r="I15" t="s">
        <v>103</v>
      </c>
      <c r="J15" t="s">
        <v>104</v>
      </c>
      <c r="K15" t="s">
        <v>63</v>
      </c>
      <c r="L15" t="s">
        <v>54</v>
      </c>
      <c r="M15">
        <v>70452</v>
      </c>
      <c r="N15" t="s">
        <v>55</v>
      </c>
      <c r="O15">
        <v>9911</v>
      </c>
      <c r="P15" t="s">
        <v>46</v>
      </c>
      <c r="Q15">
        <v>2</v>
      </c>
      <c r="R15">
        <v>1</v>
      </c>
      <c r="S15" t="s">
        <v>46</v>
      </c>
      <c r="T15" t="s">
        <v>75</v>
      </c>
      <c r="U15" t="s">
        <v>35</v>
      </c>
    </row>
    <row r="16" spans="1:21">
      <c r="A16">
        <v>4441</v>
      </c>
      <c r="B16" t="s">
        <v>105</v>
      </c>
      <c r="C16" t="s">
        <v>37</v>
      </c>
      <c r="D16">
        <v>46</v>
      </c>
      <c r="E16" t="s">
        <v>98</v>
      </c>
      <c r="F16" t="s">
        <v>39</v>
      </c>
      <c r="G16" t="s">
        <v>72</v>
      </c>
      <c r="H16" t="s">
        <v>26</v>
      </c>
      <c r="I16" t="s">
        <v>106</v>
      </c>
      <c r="J16" t="s">
        <v>107</v>
      </c>
      <c r="K16" t="s">
        <v>29</v>
      </c>
      <c r="L16" t="s">
        <v>44</v>
      </c>
      <c r="M16">
        <v>33045</v>
      </c>
      <c r="N16" t="s">
        <v>45</v>
      </c>
      <c r="O16">
        <v>1456</v>
      </c>
      <c r="P16" t="s">
        <v>46</v>
      </c>
      <c r="Q16">
        <v>16</v>
      </c>
      <c r="R16">
        <v>3</v>
      </c>
      <c r="S16" t="s">
        <v>47</v>
      </c>
      <c r="T16" t="s">
        <v>75</v>
      </c>
      <c r="U16" t="s">
        <v>46</v>
      </c>
    </row>
    <row r="17" spans="1:21">
      <c r="A17">
        <v>5827</v>
      </c>
      <c r="B17" t="s">
        <v>108</v>
      </c>
      <c r="C17" t="s">
        <v>37</v>
      </c>
      <c r="D17">
        <v>57</v>
      </c>
      <c r="E17" t="s">
        <v>68</v>
      </c>
      <c r="F17" t="s">
        <v>49</v>
      </c>
      <c r="G17" t="s">
        <v>72</v>
      </c>
      <c r="H17" t="s">
        <v>41</v>
      </c>
      <c r="I17" t="s">
        <v>109</v>
      </c>
      <c r="J17" t="s">
        <v>110</v>
      </c>
      <c r="K17" t="s">
        <v>111</v>
      </c>
      <c r="L17" t="s">
        <v>54</v>
      </c>
      <c r="M17">
        <v>96429</v>
      </c>
      <c r="N17" t="s">
        <v>31</v>
      </c>
      <c r="O17">
        <v>4740</v>
      </c>
      <c r="P17" t="s">
        <v>46</v>
      </c>
      <c r="Q17">
        <v>8</v>
      </c>
      <c r="R17">
        <v>1</v>
      </c>
      <c r="S17" t="s">
        <v>47</v>
      </c>
      <c r="T17" t="s">
        <v>66</v>
      </c>
      <c r="U17" t="s">
        <v>46</v>
      </c>
    </row>
    <row r="18" spans="1:21">
      <c r="A18">
        <v>5184</v>
      </c>
      <c r="B18" t="s">
        <v>112</v>
      </c>
      <c r="C18" t="s">
        <v>22</v>
      </c>
      <c r="D18">
        <v>24</v>
      </c>
      <c r="E18" t="s">
        <v>23</v>
      </c>
      <c r="F18" t="s">
        <v>39</v>
      </c>
      <c r="G18" t="s">
        <v>50</v>
      </c>
      <c r="H18" t="s">
        <v>51</v>
      </c>
      <c r="I18" t="s">
        <v>113</v>
      </c>
      <c r="J18" t="s">
        <v>114</v>
      </c>
      <c r="K18" t="s">
        <v>111</v>
      </c>
      <c r="L18" t="s">
        <v>54</v>
      </c>
      <c r="M18">
        <v>33183</v>
      </c>
      <c r="N18" t="s">
        <v>64</v>
      </c>
      <c r="O18">
        <v>8114</v>
      </c>
      <c r="P18" t="s">
        <v>46</v>
      </c>
      <c r="Q18">
        <v>4</v>
      </c>
      <c r="R18">
        <v>2</v>
      </c>
      <c r="S18" t="s">
        <v>47</v>
      </c>
      <c r="T18" t="s">
        <v>96</v>
      </c>
      <c r="U18" t="s">
        <v>57</v>
      </c>
    </row>
    <row r="19" spans="1:21">
      <c r="A19">
        <v>5874</v>
      </c>
      <c r="B19" t="s">
        <v>58</v>
      </c>
      <c r="C19" t="s">
        <v>22</v>
      </c>
      <c r="D19">
        <v>35</v>
      </c>
      <c r="E19" t="s">
        <v>38</v>
      </c>
      <c r="F19" t="s">
        <v>102</v>
      </c>
      <c r="G19" t="s">
        <v>72</v>
      </c>
      <c r="H19" t="s">
        <v>26</v>
      </c>
      <c r="I19" t="s">
        <v>115</v>
      </c>
      <c r="J19" t="s">
        <v>116</v>
      </c>
      <c r="K19" t="s">
        <v>111</v>
      </c>
      <c r="L19" t="s">
        <v>30</v>
      </c>
      <c r="M19">
        <v>75065</v>
      </c>
      <c r="N19" t="s">
        <v>31</v>
      </c>
      <c r="O19">
        <v>7123</v>
      </c>
      <c r="P19" t="s">
        <v>46</v>
      </c>
      <c r="Q19">
        <v>20</v>
      </c>
      <c r="R19">
        <v>2</v>
      </c>
      <c r="S19" t="s">
        <v>46</v>
      </c>
      <c r="T19" t="s">
        <v>34</v>
      </c>
      <c r="U19" t="s">
        <v>57</v>
      </c>
    </row>
    <row r="20" spans="1:21">
      <c r="A20">
        <v>9834</v>
      </c>
      <c r="B20" t="s">
        <v>117</v>
      </c>
      <c r="C20" t="s">
        <v>37</v>
      </c>
      <c r="D20">
        <v>41</v>
      </c>
      <c r="E20" t="s">
        <v>59</v>
      </c>
      <c r="F20" t="s">
        <v>39</v>
      </c>
      <c r="G20" t="s">
        <v>40</v>
      </c>
      <c r="H20" t="s">
        <v>81</v>
      </c>
      <c r="I20" t="s">
        <v>118</v>
      </c>
      <c r="J20" t="s">
        <v>119</v>
      </c>
      <c r="K20" t="s">
        <v>29</v>
      </c>
      <c r="L20" t="s">
        <v>54</v>
      </c>
      <c r="M20">
        <v>32877</v>
      </c>
      <c r="N20" t="s">
        <v>31</v>
      </c>
      <c r="O20">
        <v>6432</v>
      </c>
      <c r="P20" t="s">
        <v>32</v>
      </c>
      <c r="Q20">
        <v>11</v>
      </c>
      <c r="R20">
        <v>1</v>
      </c>
      <c r="S20" t="s">
        <v>46</v>
      </c>
      <c r="T20" t="s">
        <v>34</v>
      </c>
      <c r="U20" t="s">
        <v>46</v>
      </c>
    </row>
    <row r="21" spans="1:21">
      <c r="A21">
        <v>5096</v>
      </c>
      <c r="B21" t="s">
        <v>120</v>
      </c>
      <c r="C21" t="s">
        <v>37</v>
      </c>
      <c r="D21">
        <v>36</v>
      </c>
      <c r="E21" t="s">
        <v>59</v>
      </c>
      <c r="F21" t="s">
        <v>39</v>
      </c>
      <c r="G21" t="s">
        <v>121</v>
      </c>
      <c r="H21" t="s">
        <v>60</v>
      </c>
      <c r="I21" t="s">
        <v>122</v>
      </c>
      <c r="J21" t="s">
        <v>123</v>
      </c>
      <c r="K21" t="s">
        <v>29</v>
      </c>
      <c r="L21" t="s">
        <v>44</v>
      </c>
      <c r="M21">
        <v>46811</v>
      </c>
      <c r="N21" t="s">
        <v>55</v>
      </c>
      <c r="O21">
        <v>1567</v>
      </c>
      <c r="P21" t="s">
        <v>46</v>
      </c>
      <c r="Q21">
        <v>7</v>
      </c>
      <c r="R21">
        <v>3</v>
      </c>
      <c r="S21" t="s">
        <v>47</v>
      </c>
      <c r="T21" t="s">
        <v>34</v>
      </c>
      <c r="U21" t="s">
        <v>57</v>
      </c>
    </row>
    <row r="22" spans="1:21">
      <c r="A22">
        <v>2263</v>
      </c>
      <c r="B22" t="s">
        <v>124</v>
      </c>
      <c r="C22" t="s">
        <v>37</v>
      </c>
      <c r="D22">
        <v>31</v>
      </c>
      <c r="E22" t="s">
        <v>38</v>
      </c>
      <c r="F22" t="s">
        <v>80</v>
      </c>
      <c r="G22" t="s">
        <v>50</v>
      </c>
      <c r="H22" t="s">
        <v>41</v>
      </c>
      <c r="I22" t="s">
        <v>125</v>
      </c>
      <c r="J22" t="s">
        <v>126</v>
      </c>
      <c r="K22" t="s">
        <v>63</v>
      </c>
      <c r="L22" t="s">
        <v>44</v>
      </c>
      <c r="M22">
        <v>87538</v>
      </c>
      <c r="N22" t="s">
        <v>31</v>
      </c>
      <c r="O22">
        <v>3588</v>
      </c>
      <c r="P22" t="s">
        <v>65</v>
      </c>
      <c r="Q22">
        <v>11</v>
      </c>
      <c r="R22">
        <v>5</v>
      </c>
      <c r="S22" t="s">
        <v>47</v>
      </c>
      <c r="T22" t="s">
        <v>66</v>
      </c>
      <c r="U22" t="s">
        <v>46</v>
      </c>
    </row>
    <row r="23" spans="1:21">
      <c r="A23">
        <v>6505</v>
      </c>
      <c r="B23" t="s">
        <v>127</v>
      </c>
      <c r="C23" t="s">
        <v>22</v>
      </c>
      <c r="D23">
        <v>28</v>
      </c>
      <c r="E23" t="s">
        <v>38</v>
      </c>
      <c r="F23" t="s">
        <v>24</v>
      </c>
      <c r="G23" t="s">
        <v>40</v>
      </c>
      <c r="H23" t="s">
        <v>81</v>
      </c>
      <c r="I23" t="s">
        <v>128</v>
      </c>
      <c r="J23" t="s">
        <v>129</v>
      </c>
      <c r="K23" t="s">
        <v>29</v>
      </c>
      <c r="L23" t="s">
        <v>44</v>
      </c>
      <c r="M23">
        <v>73002</v>
      </c>
      <c r="N23" t="s">
        <v>31</v>
      </c>
      <c r="O23">
        <v>6296</v>
      </c>
      <c r="P23" t="s">
        <v>32</v>
      </c>
      <c r="Q23">
        <v>2</v>
      </c>
      <c r="R23">
        <v>5</v>
      </c>
      <c r="S23" t="s">
        <v>47</v>
      </c>
      <c r="T23" t="s">
        <v>56</v>
      </c>
      <c r="U23" t="s">
        <v>35</v>
      </c>
    </row>
    <row r="24" spans="1:21">
      <c r="A24">
        <v>8626</v>
      </c>
      <c r="B24" t="s">
        <v>130</v>
      </c>
      <c r="C24" t="s">
        <v>37</v>
      </c>
      <c r="D24">
        <v>37</v>
      </c>
      <c r="E24" t="s">
        <v>59</v>
      </c>
      <c r="F24" t="s">
        <v>80</v>
      </c>
      <c r="G24" t="s">
        <v>40</v>
      </c>
      <c r="H24" t="s">
        <v>60</v>
      </c>
      <c r="I24" t="s">
        <v>131</v>
      </c>
      <c r="J24" t="s">
        <v>132</v>
      </c>
      <c r="K24" t="s">
        <v>111</v>
      </c>
      <c r="L24" t="s">
        <v>54</v>
      </c>
      <c r="M24">
        <v>41653</v>
      </c>
      <c r="N24" t="s">
        <v>55</v>
      </c>
      <c r="O24">
        <v>9236</v>
      </c>
      <c r="P24" t="s">
        <v>46</v>
      </c>
      <c r="Q24">
        <v>13</v>
      </c>
      <c r="R24">
        <v>1</v>
      </c>
      <c r="S24" t="s">
        <v>47</v>
      </c>
      <c r="T24" t="s">
        <v>34</v>
      </c>
      <c r="U24" t="s">
        <v>46</v>
      </c>
    </row>
    <row r="25" spans="1:21">
      <c r="A25">
        <v>5979</v>
      </c>
      <c r="B25" t="s">
        <v>133</v>
      </c>
      <c r="C25" t="s">
        <v>22</v>
      </c>
      <c r="D25">
        <v>31</v>
      </c>
      <c r="E25" t="s">
        <v>38</v>
      </c>
      <c r="F25" t="s">
        <v>24</v>
      </c>
      <c r="G25" t="s">
        <v>25</v>
      </c>
      <c r="H25" t="s">
        <v>51</v>
      </c>
      <c r="I25" t="s">
        <v>134</v>
      </c>
      <c r="J25" t="s">
        <v>135</v>
      </c>
      <c r="K25" t="s">
        <v>63</v>
      </c>
      <c r="L25" t="s">
        <v>44</v>
      </c>
      <c r="M25">
        <v>67582</v>
      </c>
      <c r="N25" t="s">
        <v>64</v>
      </c>
      <c r="O25">
        <v>1375</v>
      </c>
      <c r="P25" t="s">
        <v>32</v>
      </c>
      <c r="Q25">
        <v>20</v>
      </c>
      <c r="R25">
        <v>3</v>
      </c>
      <c r="S25" t="s">
        <v>47</v>
      </c>
      <c r="T25" t="s">
        <v>56</v>
      </c>
      <c r="U25" t="s">
        <v>46</v>
      </c>
    </row>
    <row r="26" spans="1:21">
      <c r="A26">
        <v>3104</v>
      </c>
      <c r="B26" t="s">
        <v>136</v>
      </c>
      <c r="C26" t="s">
        <v>22</v>
      </c>
      <c r="D26">
        <v>23</v>
      </c>
      <c r="E26" t="s">
        <v>23</v>
      </c>
      <c r="F26" t="s">
        <v>80</v>
      </c>
      <c r="G26" t="s">
        <v>40</v>
      </c>
      <c r="H26" t="s">
        <v>41</v>
      </c>
      <c r="I26" t="s">
        <v>137</v>
      </c>
      <c r="J26" t="s">
        <v>138</v>
      </c>
      <c r="K26" t="s">
        <v>111</v>
      </c>
      <c r="L26" t="s">
        <v>44</v>
      </c>
      <c r="M26">
        <v>37351</v>
      </c>
      <c r="N26" t="s">
        <v>55</v>
      </c>
      <c r="O26">
        <v>7858</v>
      </c>
      <c r="P26" t="s">
        <v>65</v>
      </c>
      <c r="Q26">
        <v>18</v>
      </c>
      <c r="R26">
        <v>2</v>
      </c>
      <c r="S26" t="s">
        <v>33</v>
      </c>
      <c r="T26" t="s">
        <v>56</v>
      </c>
      <c r="U26" t="s">
        <v>57</v>
      </c>
    </row>
    <row r="27" spans="1:21">
      <c r="A27">
        <v>8967</v>
      </c>
      <c r="B27" t="s">
        <v>139</v>
      </c>
      <c r="C27" t="s">
        <v>22</v>
      </c>
      <c r="D27">
        <v>48</v>
      </c>
      <c r="E27" t="s">
        <v>98</v>
      </c>
      <c r="F27" t="s">
        <v>102</v>
      </c>
      <c r="G27" t="s">
        <v>50</v>
      </c>
      <c r="H27" t="s">
        <v>26</v>
      </c>
      <c r="I27" t="s">
        <v>140</v>
      </c>
      <c r="J27" t="s">
        <v>141</v>
      </c>
      <c r="K27" t="s">
        <v>29</v>
      </c>
      <c r="L27" t="s">
        <v>44</v>
      </c>
      <c r="M27">
        <v>36721</v>
      </c>
      <c r="N27" t="s">
        <v>45</v>
      </c>
      <c r="O27">
        <v>8820</v>
      </c>
      <c r="P27" t="s">
        <v>65</v>
      </c>
      <c r="Q27">
        <v>0</v>
      </c>
      <c r="R27">
        <v>2</v>
      </c>
      <c r="S27" t="s">
        <v>47</v>
      </c>
      <c r="T27" t="s">
        <v>56</v>
      </c>
      <c r="U27" t="s">
        <v>35</v>
      </c>
    </row>
    <row r="28" spans="1:21">
      <c r="A28">
        <v>5087</v>
      </c>
      <c r="B28" t="s">
        <v>142</v>
      </c>
      <c r="C28" t="s">
        <v>37</v>
      </c>
      <c r="D28">
        <v>28</v>
      </c>
      <c r="E28" t="s">
        <v>38</v>
      </c>
      <c r="F28" t="s">
        <v>49</v>
      </c>
      <c r="G28" t="s">
        <v>121</v>
      </c>
      <c r="H28" t="s">
        <v>26</v>
      </c>
      <c r="I28" t="s">
        <v>143</v>
      </c>
      <c r="J28" t="s">
        <v>144</v>
      </c>
      <c r="K28" t="s">
        <v>63</v>
      </c>
      <c r="L28" t="s">
        <v>54</v>
      </c>
      <c r="M28">
        <v>46326</v>
      </c>
      <c r="N28" t="s">
        <v>45</v>
      </c>
      <c r="O28">
        <v>9189</v>
      </c>
      <c r="P28" t="s">
        <v>65</v>
      </c>
      <c r="Q28">
        <v>8</v>
      </c>
      <c r="R28">
        <v>4</v>
      </c>
      <c r="S28" t="s">
        <v>33</v>
      </c>
      <c r="T28" t="s">
        <v>75</v>
      </c>
      <c r="U28" t="s">
        <v>57</v>
      </c>
    </row>
    <row r="29" spans="1:21">
      <c r="A29">
        <v>3358</v>
      </c>
      <c r="B29" t="s">
        <v>145</v>
      </c>
      <c r="C29" t="s">
        <v>37</v>
      </c>
      <c r="D29">
        <v>30</v>
      </c>
      <c r="E29" t="s">
        <v>38</v>
      </c>
      <c r="F29" t="s">
        <v>39</v>
      </c>
      <c r="G29" t="s">
        <v>72</v>
      </c>
      <c r="H29" t="s">
        <v>41</v>
      </c>
      <c r="I29" t="s">
        <v>146</v>
      </c>
      <c r="J29" t="s">
        <v>147</v>
      </c>
      <c r="K29" t="s">
        <v>29</v>
      </c>
      <c r="L29" t="s">
        <v>30</v>
      </c>
      <c r="M29">
        <v>59007</v>
      </c>
      <c r="N29" t="s">
        <v>31</v>
      </c>
      <c r="O29">
        <v>3380</v>
      </c>
      <c r="P29" t="s">
        <v>32</v>
      </c>
      <c r="Q29">
        <v>17</v>
      </c>
      <c r="R29">
        <v>3</v>
      </c>
      <c r="S29" t="s">
        <v>46</v>
      </c>
      <c r="T29" t="s">
        <v>96</v>
      </c>
      <c r="U29" t="s">
        <v>35</v>
      </c>
    </row>
    <row r="30" spans="1:21">
      <c r="A30">
        <v>8256</v>
      </c>
      <c r="B30" t="s">
        <v>148</v>
      </c>
      <c r="C30" t="s">
        <v>37</v>
      </c>
      <c r="D30">
        <v>46</v>
      </c>
      <c r="E30" t="s">
        <v>98</v>
      </c>
      <c r="F30" t="s">
        <v>80</v>
      </c>
      <c r="G30" t="s">
        <v>25</v>
      </c>
      <c r="H30" t="s">
        <v>60</v>
      </c>
      <c r="I30" t="s">
        <v>149</v>
      </c>
      <c r="J30" t="s">
        <v>150</v>
      </c>
      <c r="K30" t="s">
        <v>29</v>
      </c>
      <c r="L30" t="s">
        <v>44</v>
      </c>
      <c r="M30">
        <v>52020</v>
      </c>
      <c r="N30" t="s">
        <v>45</v>
      </c>
      <c r="O30">
        <v>9585</v>
      </c>
      <c r="P30" t="s">
        <v>65</v>
      </c>
      <c r="Q30">
        <v>0</v>
      </c>
      <c r="R30">
        <v>4</v>
      </c>
      <c r="S30" t="s">
        <v>47</v>
      </c>
      <c r="T30" t="s">
        <v>96</v>
      </c>
      <c r="U30" t="s">
        <v>46</v>
      </c>
    </row>
    <row r="31" spans="1:21">
      <c r="A31">
        <v>5763</v>
      </c>
      <c r="B31" t="s">
        <v>151</v>
      </c>
      <c r="C31" t="s">
        <v>37</v>
      </c>
      <c r="D31">
        <v>44</v>
      </c>
      <c r="E31" t="s">
        <v>59</v>
      </c>
      <c r="F31" t="s">
        <v>39</v>
      </c>
      <c r="G31" t="s">
        <v>50</v>
      </c>
      <c r="H31" t="s">
        <v>41</v>
      </c>
      <c r="I31" t="s">
        <v>152</v>
      </c>
      <c r="J31" t="s">
        <v>153</v>
      </c>
      <c r="K31" t="s">
        <v>111</v>
      </c>
      <c r="L31" t="s">
        <v>44</v>
      </c>
      <c r="M31">
        <v>98961</v>
      </c>
      <c r="N31" t="s">
        <v>55</v>
      </c>
      <c r="O31">
        <v>2688</v>
      </c>
      <c r="P31" t="s">
        <v>32</v>
      </c>
      <c r="Q31">
        <v>2</v>
      </c>
      <c r="R31">
        <v>5</v>
      </c>
      <c r="S31" t="s">
        <v>47</v>
      </c>
      <c r="T31" t="s">
        <v>96</v>
      </c>
      <c r="U31" t="s">
        <v>35</v>
      </c>
    </row>
    <row r="32" spans="1:21">
      <c r="A32">
        <v>6838</v>
      </c>
      <c r="B32" t="s">
        <v>154</v>
      </c>
      <c r="C32" t="s">
        <v>37</v>
      </c>
      <c r="D32">
        <v>45</v>
      </c>
      <c r="E32" t="s">
        <v>59</v>
      </c>
      <c r="F32" t="s">
        <v>49</v>
      </c>
      <c r="G32" t="s">
        <v>72</v>
      </c>
      <c r="H32" t="s">
        <v>51</v>
      </c>
      <c r="I32" t="s">
        <v>155</v>
      </c>
      <c r="J32" t="s">
        <v>156</v>
      </c>
      <c r="K32" t="s">
        <v>111</v>
      </c>
      <c r="L32" t="s">
        <v>44</v>
      </c>
      <c r="M32">
        <v>81943</v>
      </c>
      <c r="N32" t="s">
        <v>31</v>
      </c>
      <c r="O32">
        <v>2255</v>
      </c>
      <c r="P32" t="s">
        <v>32</v>
      </c>
      <c r="Q32">
        <v>18</v>
      </c>
      <c r="R32">
        <v>2</v>
      </c>
      <c r="S32" t="s">
        <v>46</v>
      </c>
      <c r="T32" t="s">
        <v>66</v>
      </c>
      <c r="U32" t="s">
        <v>35</v>
      </c>
    </row>
    <row r="33" spans="1:21">
      <c r="A33">
        <v>9544</v>
      </c>
      <c r="B33" t="s">
        <v>157</v>
      </c>
      <c r="C33" t="s">
        <v>37</v>
      </c>
      <c r="D33">
        <v>52</v>
      </c>
      <c r="E33" t="s">
        <v>98</v>
      </c>
      <c r="F33" t="s">
        <v>102</v>
      </c>
      <c r="G33" t="s">
        <v>50</v>
      </c>
      <c r="H33" t="s">
        <v>41</v>
      </c>
      <c r="I33" t="s">
        <v>158</v>
      </c>
      <c r="J33" t="s">
        <v>159</v>
      </c>
      <c r="K33" t="s">
        <v>111</v>
      </c>
      <c r="L33" t="s">
        <v>44</v>
      </c>
      <c r="M33">
        <v>47627</v>
      </c>
      <c r="N33" t="s">
        <v>31</v>
      </c>
      <c r="O33">
        <v>1221</v>
      </c>
      <c r="P33" t="s">
        <v>46</v>
      </c>
      <c r="Q33">
        <v>4</v>
      </c>
      <c r="R33">
        <v>3</v>
      </c>
      <c r="S33" t="s">
        <v>46</v>
      </c>
      <c r="T33" t="s">
        <v>56</v>
      </c>
      <c r="U33" t="s">
        <v>46</v>
      </c>
    </row>
    <row r="34" spans="1:21">
      <c r="A34">
        <v>8012</v>
      </c>
      <c r="B34" t="s">
        <v>160</v>
      </c>
      <c r="C34" t="s">
        <v>22</v>
      </c>
      <c r="D34">
        <v>52</v>
      </c>
      <c r="E34" t="s">
        <v>98</v>
      </c>
      <c r="F34" t="s">
        <v>24</v>
      </c>
      <c r="G34" t="s">
        <v>25</v>
      </c>
      <c r="H34" t="s">
        <v>81</v>
      </c>
      <c r="I34" t="s">
        <v>161</v>
      </c>
      <c r="J34" t="s">
        <v>162</v>
      </c>
      <c r="K34" t="s">
        <v>111</v>
      </c>
      <c r="L34" t="s">
        <v>44</v>
      </c>
      <c r="M34">
        <v>56162</v>
      </c>
      <c r="N34" t="s">
        <v>55</v>
      </c>
      <c r="O34">
        <v>6560</v>
      </c>
      <c r="P34" t="s">
        <v>65</v>
      </c>
      <c r="Q34">
        <v>9</v>
      </c>
      <c r="R34">
        <v>4</v>
      </c>
      <c r="S34" t="s">
        <v>47</v>
      </c>
      <c r="T34" t="s">
        <v>75</v>
      </c>
      <c r="U34" t="s">
        <v>46</v>
      </c>
    </row>
    <row r="35" spans="1:21">
      <c r="A35">
        <v>9374</v>
      </c>
      <c r="B35" t="s">
        <v>163</v>
      </c>
      <c r="C35" t="s">
        <v>22</v>
      </c>
      <c r="D35">
        <v>42</v>
      </c>
      <c r="E35" t="s">
        <v>59</v>
      </c>
      <c r="F35" t="s">
        <v>39</v>
      </c>
      <c r="G35" t="s">
        <v>50</v>
      </c>
      <c r="H35" t="s">
        <v>51</v>
      </c>
      <c r="I35" t="s">
        <v>164</v>
      </c>
      <c r="J35" t="s">
        <v>165</v>
      </c>
      <c r="K35" t="s">
        <v>63</v>
      </c>
      <c r="L35" t="s">
        <v>54</v>
      </c>
      <c r="M35">
        <v>95734</v>
      </c>
      <c r="N35" t="s">
        <v>31</v>
      </c>
      <c r="O35">
        <v>4854</v>
      </c>
      <c r="P35" t="s">
        <v>32</v>
      </c>
      <c r="Q35">
        <v>13</v>
      </c>
      <c r="R35">
        <v>2</v>
      </c>
      <c r="S35" t="s">
        <v>33</v>
      </c>
      <c r="T35" t="s">
        <v>34</v>
      </c>
      <c r="U35" t="s">
        <v>35</v>
      </c>
    </row>
    <row r="36" spans="1:21">
      <c r="A36">
        <v>3487</v>
      </c>
      <c r="B36" t="s">
        <v>166</v>
      </c>
      <c r="C36" t="s">
        <v>37</v>
      </c>
      <c r="D36">
        <v>58</v>
      </c>
      <c r="E36" t="s">
        <v>68</v>
      </c>
      <c r="F36" t="s">
        <v>39</v>
      </c>
      <c r="G36" t="s">
        <v>40</v>
      </c>
      <c r="H36" t="s">
        <v>60</v>
      </c>
      <c r="I36" t="s">
        <v>167</v>
      </c>
      <c r="J36" t="s">
        <v>168</v>
      </c>
      <c r="K36" t="s">
        <v>63</v>
      </c>
      <c r="L36" t="s">
        <v>54</v>
      </c>
      <c r="M36">
        <v>74789</v>
      </c>
      <c r="N36" t="s">
        <v>31</v>
      </c>
      <c r="O36">
        <v>8101</v>
      </c>
      <c r="P36" t="s">
        <v>65</v>
      </c>
      <c r="Q36">
        <v>14</v>
      </c>
      <c r="R36">
        <v>5</v>
      </c>
      <c r="S36" t="s">
        <v>47</v>
      </c>
      <c r="T36" t="s">
        <v>66</v>
      </c>
      <c r="U36" t="s">
        <v>46</v>
      </c>
    </row>
    <row r="37" spans="1:21">
      <c r="A37">
        <v>8445</v>
      </c>
      <c r="B37" t="s">
        <v>169</v>
      </c>
      <c r="C37" t="s">
        <v>22</v>
      </c>
      <c r="D37">
        <v>24</v>
      </c>
      <c r="E37" t="s">
        <v>23</v>
      </c>
      <c r="F37" t="s">
        <v>102</v>
      </c>
      <c r="G37" t="s">
        <v>25</v>
      </c>
      <c r="H37" t="s">
        <v>60</v>
      </c>
      <c r="I37" t="s">
        <v>170</v>
      </c>
      <c r="J37" t="s">
        <v>171</v>
      </c>
      <c r="K37" t="s">
        <v>29</v>
      </c>
      <c r="L37" t="s">
        <v>54</v>
      </c>
      <c r="M37">
        <v>30137</v>
      </c>
      <c r="N37" t="s">
        <v>45</v>
      </c>
      <c r="O37">
        <v>4031</v>
      </c>
      <c r="P37" t="s">
        <v>46</v>
      </c>
      <c r="Q37">
        <v>5</v>
      </c>
      <c r="R37">
        <v>3</v>
      </c>
      <c r="S37" t="s">
        <v>46</v>
      </c>
      <c r="T37" t="s">
        <v>56</v>
      </c>
      <c r="U37" t="s">
        <v>35</v>
      </c>
    </row>
    <row r="38" spans="1:21">
      <c r="A38">
        <v>1550</v>
      </c>
      <c r="B38" t="s">
        <v>172</v>
      </c>
      <c r="C38" t="s">
        <v>37</v>
      </c>
      <c r="D38">
        <v>21</v>
      </c>
      <c r="E38" t="s">
        <v>23</v>
      </c>
      <c r="F38" t="s">
        <v>39</v>
      </c>
      <c r="G38" t="s">
        <v>25</v>
      </c>
      <c r="H38" t="s">
        <v>26</v>
      </c>
      <c r="I38" t="s">
        <v>173</v>
      </c>
      <c r="J38" t="s">
        <v>174</v>
      </c>
      <c r="K38" t="s">
        <v>29</v>
      </c>
      <c r="L38" t="s">
        <v>54</v>
      </c>
      <c r="M38">
        <v>95510</v>
      </c>
      <c r="N38" t="s">
        <v>31</v>
      </c>
      <c r="O38">
        <v>6811</v>
      </c>
      <c r="P38" t="s">
        <v>32</v>
      </c>
      <c r="Q38">
        <v>18</v>
      </c>
      <c r="R38">
        <v>4</v>
      </c>
      <c r="S38" t="s">
        <v>47</v>
      </c>
      <c r="T38" t="s">
        <v>96</v>
      </c>
      <c r="U38" t="s">
        <v>35</v>
      </c>
    </row>
    <row r="39" spans="1:21">
      <c r="A39">
        <v>9968</v>
      </c>
      <c r="B39" t="s">
        <v>175</v>
      </c>
      <c r="C39" t="s">
        <v>37</v>
      </c>
      <c r="D39">
        <v>58</v>
      </c>
      <c r="E39" t="s">
        <v>68</v>
      </c>
      <c r="F39" t="s">
        <v>39</v>
      </c>
      <c r="G39" t="s">
        <v>72</v>
      </c>
      <c r="H39" t="s">
        <v>26</v>
      </c>
      <c r="I39" t="s">
        <v>176</v>
      </c>
      <c r="J39" t="s">
        <v>177</v>
      </c>
      <c r="K39" t="s">
        <v>63</v>
      </c>
      <c r="L39" t="s">
        <v>30</v>
      </c>
      <c r="M39">
        <v>80325</v>
      </c>
      <c r="N39" t="s">
        <v>45</v>
      </c>
      <c r="O39">
        <v>6230</v>
      </c>
      <c r="P39" t="s">
        <v>32</v>
      </c>
      <c r="Q39">
        <v>5</v>
      </c>
      <c r="R39">
        <v>4</v>
      </c>
      <c r="S39" t="s">
        <v>46</v>
      </c>
      <c r="T39" t="s">
        <v>66</v>
      </c>
      <c r="U39" t="s">
        <v>57</v>
      </c>
    </row>
    <row r="40" spans="1:21">
      <c r="A40">
        <v>8029</v>
      </c>
      <c r="B40" t="s">
        <v>178</v>
      </c>
      <c r="C40" t="s">
        <v>22</v>
      </c>
      <c r="D40">
        <v>57</v>
      </c>
      <c r="E40" t="s">
        <v>68</v>
      </c>
      <c r="F40" t="s">
        <v>80</v>
      </c>
      <c r="G40" t="s">
        <v>121</v>
      </c>
      <c r="H40" t="s">
        <v>81</v>
      </c>
      <c r="I40" t="s">
        <v>179</v>
      </c>
      <c r="J40" t="s">
        <v>180</v>
      </c>
      <c r="K40" t="s">
        <v>111</v>
      </c>
      <c r="L40" t="s">
        <v>44</v>
      </c>
      <c r="M40">
        <v>34109</v>
      </c>
      <c r="N40" t="s">
        <v>45</v>
      </c>
      <c r="O40">
        <v>9232</v>
      </c>
      <c r="P40" t="s">
        <v>32</v>
      </c>
      <c r="Q40">
        <v>13</v>
      </c>
      <c r="R40">
        <v>3</v>
      </c>
      <c r="S40" t="s">
        <v>33</v>
      </c>
      <c r="T40" t="s">
        <v>34</v>
      </c>
      <c r="U40" t="s">
        <v>35</v>
      </c>
    </row>
    <row r="41" spans="1:21">
      <c r="A41">
        <v>8847</v>
      </c>
      <c r="B41" t="s">
        <v>181</v>
      </c>
      <c r="C41" t="s">
        <v>37</v>
      </c>
      <c r="D41">
        <v>41</v>
      </c>
      <c r="E41" t="s">
        <v>59</v>
      </c>
      <c r="F41" t="s">
        <v>80</v>
      </c>
      <c r="G41" t="s">
        <v>72</v>
      </c>
      <c r="H41" t="s">
        <v>26</v>
      </c>
      <c r="I41" t="s">
        <v>182</v>
      </c>
      <c r="J41" t="s">
        <v>183</v>
      </c>
      <c r="K41" t="s">
        <v>111</v>
      </c>
      <c r="L41" t="s">
        <v>54</v>
      </c>
      <c r="M41">
        <v>73330</v>
      </c>
      <c r="N41" t="s">
        <v>31</v>
      </c>
      <c r="O41">
        <v>2276</v>
      </c>
      <c r="P41" t="s">
        <v>65</v>
      </c>
      <c r="Q41">
        <v>5</v>
      </c>
      <c r="R41">
        <v>1</v>
      </c>
      <c r="S41" t="s">
        <v>46</v>
      </c>
      <c r="T41" t="s">
        <v>56</v>
      </c>
      <c r="U41" t="s">
        <v>57</v>
      </c>
    </row>
    <row r="42" spans="1:21">
      <c r="A42">
        <v>1955</v>
      </c>
      <c r="B42" t="s">
        <v>184</v>
      </c>
      <c r="C42" t="s">
        <v>22</v>
      </c>
      <c r="D42">
        <v>58</v>
      </c>
      <c r="E42" t="s">
        <v>68</v>
      </c>
      <c r="F42" t="s">
        <v>49</v>
      </c>
      <c r="G42" t="s">
        <v>50</v>
      </c>
      <c r="H42" t="s">
        <v>41</v>
      </c>
      <c r="I42" t="s">
        <v>185</v>
      </c>
      <c r="J42" t="s">
        <v>186</v>
      </c>
      <c r="K42" t="s">
        <v>63</v>
      </c>
      <c r="L42" t="s">
        <v>54</v>
      </c>
      <c r="M42">
        <v>46567</v>
      </c>
      <c r="N42" t="s">
        <v>64</v>
      </c>
      <c r="O42">
        <v>2825</v>
      </c>
      <c r="P42" t="s">
        <v>32</v>
      </c>
      <c r="Q42">
        <v>15</v>
      </c>
      <c r="R42">
        <v>3</v>
      </c>
      <c r="S42" t="s">
        <v>46</v>
      </c>
      <c r="T42" t="s">
        <v>96</v>
      </c>
      <c r="U42" t="s">
        <v>57</v>
      </c>
    </row>
    <row r="43" spans="1:21">
      <c r="A43">
        <v>4522</v>
      </c>
      <c r="B43" t="s">
        <v>187</v>
      </c>
      <c r="C43" t="s">
        <v>22</v>
      </c>
      <c r="D43">
        <v>36</v>
      </c>
      <c r="E43" t="s">
        <v>59</v>
      </c>
      <c r="F43" t="s">
        <v>24</v>
      </c>
      <c r="G43" t="s">
        <v>121</v>
      </c>
      <c r="H43" t="s">
        <v>26</v>
      </c>
      <c r="I43" t="s">
        <v>188</v>
      </c>
      <c r="J43" t="s">
        <v>189</v>
      </c>
      <c r="K43" t="s">
        <v>63</v>
      </c>
      <c r="L43" t="s">
        <v>44</v>
      </c>
      <c r="M43">
        <v>39795</v>
      </c>
      <c r="N43" t="s">
        <v>64</v>
      </c>
      <c r="O43">
        <v>1670</v>
      </c>
      <c r="P43" t="s">
        <v>46</v>
      </c>
      <c r="Q43">
        <v>0</v>
      </c>
      <c r="R43">
        <v>2</v>
      </c>
      <c r="S43" t="s">
        <v>47</v>
      </c>
      <c r="T43" t="s">
        <v>75</v>
      </c>
      <c r="U43" t="s">
        <v>46</v>
      </c>
    </row>
    <row r="44" spans="1:21">
      <c r="A44">
        <v>3078</v>
      </c>
      <c r="B44" t="s">
        <v>190</v>
      </c>
      <c r="C44" t="s">
        <v>22</v>
      </c>
      <c r="D44">
        <v>21</v>
      </c>
      <c r="E44" t="s">
        <v>23</v>
      </c>
      <c r="F44" t="s">
        <v>24</v>
      </c>
      <c r="G44" t="s">
        <v>25</v>
      </c>
      <c r="H44" t="s">
        <v>81</v>
      </c>
      <c r="I44" t="s">
        <v>191</v>
      </c>
      <c r="J44" t="s">
        <v>192</v>
      </c>
      <c r="K44" t="s">
        <v>63</v>
      </c>
      <c r="L44" t="s">
        <v>54</v>
      </c>
      <c r="M44">
        <v>59506</v>
      </c>
      <c r="N44" t="s">
        <v>64</v>
      </c>
      <c r="O44">
        <v>4428</v>
      </c>
      <c r="P44" t="s">
        <v>65</v>
      </c>
      <c r="Q44">
        <v>0</v>
      </c>
      <c r="R44">
        <v>1</v>
      </c>
      <c r="S44" t="s">
        <v>46</v>
      </c>
      <c r="T44" t="s">
        <v>75</v>
      </c>
      <c r="U44" t="s">
        <v>35</v>
      </c>
    </row>
    <row r="45" spans="1:21">
      <c r="A45">
        <v>6357</v>
      </c>
      <c r="B45" t="s">
        <v>193</v>
      </c>
      <c r="C45" t="s">
        <v>22</v>
      </c>
      <c r="D45">
        <v>46</v>
      </c>
      <c r="E45" t="s">
        <v>98</v>
      </c>
      <c r="F45" t="s">
        <v>49</v>
      </c>
      <c r="G45" t="s">
        <v>40</v>
      </c>
      <c r="H45" t="s">
        <v>81</v>
      </c>
      <c r="I45" t="s">
        <v>194</v>
      </c>
      <c r="J45" t="s">
        <v>195</v>
      </c>
      <c r="K45" t="s">
        <v>63</v>
      </c>
      <c r="L45" t="s">
        <v>54</v>
      </c>
      <c r="M45">
        <v>49058</v>
      </c>
      <c r="N45" t="s">
        <v>45</v>
      </c>
      <c r="O45">
        <v>4396</v>
      </c>
      <c r="P45" t="s">
        <v>46</v>
      </c>
      <c r="Q45">
        <v>5</v>
      </c>
      <c r="R45">
        <v>1</v>
      </c>
      <c r="S45" t="s">
        <v>46</v>
      </c>
      <c r="T45" t="s">
        <v>75</v>
      </c>
      <c r="U45" t="s">
        <v>46</v>
      </c>
    </row>
    <row r="46" spans="1:21">
      <c r="A46">
        <v>7951</v>
      </c>
      <c r="B46" t="s">
        <v>196</v>
      </c>
      <c r="C46" t="s">
        <v>22</v>
      </c>
      <c r="D46">
        <v>36</v>
      </c>
      <c r="E46" t="s">
        <v>59</v>
      </c>
      <c r="F46" t="s">
        <v>80</v>
      </c>
      <c r="G46" t="s">
        <v>50</v>
      </c>
      <c r="H46" t="s">
        <v>81</v>
      </c>
      <c r="I46" t="s">
        <v>197</v>
      </c>
      <c r="J46" t="s">
        <v>198</v>
      </c>
      <c r="K46" t="s">
        <v>63</v>
      </c>
      <c r="L46" t="s">
        <v>30</v>
      </c>
      <c r="M46">
        <v>98612</v>
      </c>
      <c r="N46" t="s">
        <v>64</v>
      </c>
      <c r="O46">
        <v>1168</v>
      </c>
      <c r="P46" t="s">
        <v>46</v>
      </c>
      <c r="Q46">
        <v>9</v>
      </c>
      <c r="R46">
        <v>2</v>
      </c>
      <c r="S46" t="s">
        <v>47</v>
      </c>
      <c r="T46" t="s">
        <v>34</v>
      </c>
      <c r="U46" t="s">
        <v>35</v>
      </c>
    </row>
    <row r="47" spans="1:21">
      <c r="A47">
        <v>9228</v>
      </c>
      <c r="B47" t="s">
        <v>199</v>
      </c>
      <c r="C47" t="s">
        <v>37</v>
      </c>
      <c r="D47">
        <v>41</v>
      </c>
      <c r="E47" t="s">
        <v>59</v>
      </c>
      <c r="F47" t="s">
        <v>102</v>
      </c>
      <c r="G47" t="s">
        <v>72</v>
      </c>
      <c r="H47" t="s">
        <v>41</v>
      </c>
      <c r="I47" t="s">
        <v>200</v>
      </c>
      <c r="J47" t="s">
        <v>201</v>
      </c>
      <c r="K47" t="s">
        <v>111</v>
      </c>
      <c r="L47" t="s">
        <v>44</v>
      </c>
      <c r="M47">
        <v>38201</v>
      </c>
      <c r="N47" t="s">
        <v>64</v>
      </c>
      <c r="O47">
        <v>7111</v>
      </c>
      <c r="P47" t="s">
        <v>32</v>
      </c>
      <c r="Q47">
        <v>8</v>
      </c>
      <c r="R47">
        <v>4</v>
      </c>
      <c r="S47" t="s">
        <v>33</v>
      </c>
      <c r="T47" t="s">
        <v>75</v>
      </c>
      <c r="U47" t="s">
        <v>46</v>
      </c>
    </row>
    <row r="48" spans="1:21">
      <c r="A48">
        <v>8988</v>
      </c>
      <c r="B48" t="s">
        <v>202</v>
      </c>
      <c r="C48" t="s">
        <v>37</v>
      </c>
      <c r="D48">
        <v>25</v>
      </c>
      <c r="E48" t="s">
        <v>23</v>
      </c>
      <c r="F48" t="s">
        <v>24</v>
      </c>
      <c r="G48" t="s">
        <v>50</v>
      </c>
      <c r="H48" t="s">
        <v>51</v>
      </c>
      <c r="I48" t="s">
        <v>203</v>
      </c>
      <c r="J48" t="s">
        <v>204</v>
      </c>
      <c r="K48" t="s">
        <v>111</v>
      </c>
      <c r="L48" t="s">
        <v>44</v>
      </c>
      <c r="M48">
        <v>92919</v>
      </c>
      <c r="N48" t="s">
        <v>55</v>
      </c>
      <c r="O48">
        <v>9497</v>
      </c>
      <c r="P48" t="s">
        <v>32</v>
      </c>
      <c r="Q48">
        <v>7</v>
      </c>
      <c r="R48">
        <v>2</v>
      </c>
      <c r="S48" t="s">
        <v>46</v>
      </c>
      <c r="T48" t="s">
        <v>75</v>
      </c>
      <c r="U48" t="s">
        <v>57</v>
      </c>
    </row>
    <row r="49" spans="1:21">
      <c r="A49">
        <v>1952</v>
      </c>
      <c r="B49" t="s">
        <v>205</v>
      </c>
      <c r="C49" t="s">
        <v>22</v>
      </c>
      <c r="D49">
        <v>29</v>
      </c>
      <c r="E49" t="s">
        <v>38</v>
      </c>
      <c r="F49" t="s">
        <v>102</v>
      </c>
      <c r="G49" t="s">
        <v>25</v>
      </c>
      <c r="H49" t="s">
        <v>41</v>
      </c>
      <c r="I49" t="s">
        <v>206</v>
      </c>
      <c r="J49" t="s">
        <v>207</v>
      </c>
      <c r="K49" t="s">
        <v>29</v>
      </c>
      <c r="L49" t="s">
        <v>54</v>
      </c>
      <c r="M49">
        <v>45188</v>
      </c>
      <c r="N49" t="s">
        <v>64</v>
      </c>
      <c r="O49">
        <v>9591</v>
      </c>
      <c r="P49" t="s">
        <v>65</v>
      </c>
      <c r="Q49">
        <v>18</v>
      </c>
      <c r="R49">
        <v>3</v>
      </c>
      <c r="S49" t="s">
        <v>33</v>
      </c>
      <c r="T49" t="s">
        <v>75</v>
      </c>
      <c r="U49" t="s">
        <v>46</v>
      </c>
    </row>
    <row r="50" spans="1:21">
      <c r="A50">
        <v>5760</v>
      </c>
      <c r="B50" t="s">
        <v>208</v>
      </c>
      <c r="C50" t="s">
        <v>22</v>
      </c>
      <c r="D50">
        <v>59</v>
      </c>
      <c r="E50" t="s">
        <v>68</v>
      </c>
      <c r="F50" t="s">
        <v>49</v>
      </c>
      <c r="G50" t="s">
        <v>40</v>
      </c>
      <c r="H50" t="s">
        <v>26</v>
      </c>
      <c r="I50" t="s">
        <v>209</v>
      </c>
      <c r="J50" t="s">
        <v>210</v>
      </c>
      <c r="K50" t="s">
        <v>29</v>
      </c>
      <c r="L50" t="s">
        <v>44</v>
      </c>
      <c r="M50">
        <v>34927</v>
      </c>
      <c r="N50" t="s">
        <v>55</v>
      </c>
      <c r="O50">
        <v>6996</v>
      </c>
      <c r="P50" t="s">
        <v>65</v>
      </c>
      <c r="Q50">
        <v>16</v>
      </c>
      <c r="R50">
        <v>1</v>
      </c>
      <c r="S50" t="s">
        <v>47</v>
      </c>
      <c r="T50" t="s">
        <v>34</v>
      </c>
      <c r="U50" t="s">
        <v>35</v>
      </c>
    </row>
    <row r="51" spans="1:21">
      <c r="A51">
        <v>5742</v>
      </c>
      <c r="B51" t="s">
        <v>211</v>
      </c>
      <c r="C51" t="s">
        <v>22</v>
      </c>
      <c r="D51">
        <v>27</v>
      </c>
      <c r="E51" t="s">
        <v>38</v>
      </c>
      <c r="F51" t="s">
        <v>24</v>
      </c>
      <c r="G51" t="s">
        <v>50</v>
      </c>
      <c r="H51" t="s">
        <v>60</v>
      </c>
      <c r="I51" t="s">
        <v>212</v>
      </c>
      <c r="J51" t="s">
        <v>213</v>
      </c>
      <c r="K51" t="s">
        <v>29</v>
      </c>
      <c r="L51" t="s">
        <v>44</v>
      </c>
      <c r="M51">
        <v>33183</v>
      </c>
      <c r="N51" t="s">
        <v>64</v>
      </c>
      <c r="O51">
        <v>1659</v>
      </c>
      <c r="P51" t="s">
        <v>46</v>
      </c>
      <c r="Q51">
        <v>11</v>
      </c>
      <c r="R51">
        <v>1</v>
      </c>
      <c r="S51" t="s">
        <v>33</v>
      </c>
      <c r="T51" t="s">
        <v>66</v>
      </c>
      <c r="U51"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DBA74-EC7A-44AF-A636-497B5B02E650}">
  <dimension ref="A1:B32"/>
  <sheetViews>
    <sheetView tabSelected="1" zoomScale="70" zoomScaleNormal="70" workbookViewId="0">
      <selection activeCell="Q36" sqref="Q36"/>
    </sheetView>
  </sheetViews>
  <sheetFormatPr defaultRowHeight="17.399999999999999"/>
  <cols>
    <col min="1" max="16384" width="8.88671875" style="4"/>
  </cols>
  <sheetData>
    <row r="1" spans="1:2">
      <c r="A1" s="11"/>
      <c r="B1" s="11"/>
    </row>
    <row r="2" spans="1:2">
      <c r="A2" s="11"/>
      <c r="B2" s="11"/>
    </row>
    <row r="3" spans="1:2">
      <c r="A3" s="11"/>
      <c r="B3" s="11"/>
    </row>
    <row r="4" spans="1:2">
      <c r="A4" s="11"/>
      <c r="B4" s="11"/>
    </row>
    <row r="5" spans="1:2">
      <c r="A5" s="11"/>
      <c r="B5" s="11"/>
    </row>
    <row r="6" spans="1:2">
      <c r="A6" s="11"/>
      <c r="B6" s="11"/>
    </row>
    <row r="7" spans="1:2">
      <c r="A7" s="11"/>
      <c r="B7" s="11"/>
    </row>
    <row r="8" spans="1:2">
      <c r="A8" s="11"/>
      <c r="B8" s="11"/>
    </row>
    <row r="9" spans="1:2">
      <c r="A9" s="11"/>
      <c r="B9" s="11"/>
    </row>
    <row r="10" spans="1:2">
      <c r="A10" s="11"/>
      <c r="B10" s="11"/>
    </row>
    <row r="11" spans="1:2">
      <c r="A11" s="11"/>
      <c r="B11" s="11"/>
    </row>
    <row r="12" spans="1:2">
      <c r="A12" s="11"/>
      <c r="B12" s="11"/>
    </row>
    <row r="13" spans="1:2">
      <c r="A13" s="11"/>
      <c r="B13" s="11"/>
    </row>
    <row r="14" spans="1:2">
      <c r="A14" s="11"/>
      <c r="B14" s="11"/>
    </row>
    <row r="15" spans="1:2">
      <c r="A15" s="11"/>
      <c r="B15" s="11"/>
    </row>
    <row r="16" spans="1:2">
      <c r="A16" s="11"/>
      <c r="B16" s="11"/>
    </row>
    <row r="17" spans="1:2">
      <c r="A17" s="11"/>
      <c r="B17" s="11"/>
    </row>
    <row r="18" spans="1:2">
      <c r="A18" s="11"/>
      <c r="B18" s="11"/>
    </row>
    <row r="19" spans="1:2">
      <c r="A19" s="11"/>
      <c r="B19" s="11"/>
    </row>
    <row r="20" spans="1:2">
      <c r="A20" s="11"/>
      <c r="B20" s="11"/>
    </row>
    <row r="21" spans="1:2">
      <c r="A21" s="11"/>
      <c r="B21" s="11"/>
    </row>
    <row r="22" spans="1:2">
      <c r="A22" s="11"/>
      <c r="B22" s="11"/>
    </row>
    <row r="23" spans="1:2">
      <c r="A23" s="11"/>
      <c r="B23" s="11"/>
    </row>
    <row r="24" spans="1:2">
      <c r="A24" s="11"/>
      <c r="B24" s="11"/>
    </row>
    <row r="25" spans="1:2">
      <c r="A25" s="11"/>
      <c r="B25" s="11"/>
    </row>
    <row r="26" spans="1:2">
      <c r="A26" s="11"/>
      <c r="B26" s="11"/>
    </row>
    <row r="27" spans="1:2">
      <c r="A27" s="11"/>
      <c r="B27" s="11"/>
    </row>
    <row r="28" spans="1:2">
      <c r="A28" s="11"/>
      <c r="B28" s="11"/>
    </row>
    <row r="29" spans="1:2">
      <c r="A29" s="11"/>
      <c r="B29" s="11"/>
    </row>
    <row r="30" spans="1:2">
      <c r="A30" s="11"/>
      <c r="B30" s="11"/>
    </row>
    <row r="31" spans="1:2">
      <c r="A31" s="11"/>
      <c r="B31" s="11"/>
    </row>
    <row r="32" spans="1:2">
      <c r="A32" s="11"/>
      <c r="B32" s="1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AFDE4-49EB-4ECF-87D1-E785EDC92094}">
  <dimension ref="A1:S55"/>
  <sheetViews>
    <sheetView workbookViewId="0">
      <selection activeCell="C20" sqref="C20"/>
    </sheetView>
  </sheetViews>
  <sheetFormatPr defaultRowHeight="14.4"/>
  <cols>
    <col min="1" max="1" width="16.6640625" bestFit="1" customWidth="1"/>
    <col min="2" max="2" width="15.5546875" bestFit="1" customWidth="1"/>
    <col min="3" max="3" width="5" bestFit="1" customWidth="1"/>
    <col min="4" max="4" width="10.5546875" bestFit="1" customWidth="1"/>
    <col min="5" max="5" width="11.88671875" bestFit="1" customWidth="1"/>
    <col min="6" max="6" width="14.5546875" bestFit="1" customWidth="1"/>
    <col min="7" max="7" width="12.44140625" bestFit="1" customWidth="1"/>
    <col min="8" max="8" width="16.6640625" bestFit="1" customWidth="1"/>
    <col min="9" max="9" width="12.88671875" bestFit="1" customWidth="1"/>
    <col min="10" max="10" width="14.88671875" bestFit="1" customWidth="1"/>
    <col min="11" max="11" width="12.6640625" bestFit="1" customWidth="1"/>
    <col min="12" max="12" width="14.109375" bestFit="1" customWidth="1"/>
    <col min="13" max="13" width="14.88671875" bestFit="1" customWidth="1"/>
    <col min="14" max="14" width="13.88671875" bestFit="1" customWidth="1"/>
    <col min="15" max="15" width="9.6640625" bestFit="1" customWidth="1"/>
    <col min="16" max="16" width="12.44140625" bestFit="1" customWidth="1"/>
    <col min="17" max="17" width="26.44140625" bestFit="1" customWidth="1"/>
    <col min="18" max="18" width="23.5546875" bestFit="1" customWidth="1"/>
    <col min="19" max="19" width="13.109375" bestFit="1" customWidth="1"/>
    <col min="20" max="20" width="11.88671875" bestFit="1" customWidth="1"/>
    <col min="21" max="21" width="10.77734375" bestFit="1" customWidth="1"/>
    <col min="22" max="22" width="12.6640625" bestFit="1" customWidth="1"/>
    <col min="23" max="23" width="13.44140625" bestFit="1" customWidth="1"/>
    <col min="24" max="24" width="11.88671875" bestFit="1" customWidth="1"/>
    <col min="25" max="25" width="10.109375" bestFit="1" customWidth="1"/>
    <col min="26" max="26" width="9.109375" bestFit="1" customWidth="1"/>
    <col min="27" max="28" width="13.5546875" bestFit="1" customWidth="1"/>
    <col min="29" max="29" width="10.5546875" bestFit="1" customWidth="1"/>
    <col min="30" max="30" width="11.33203125" bestFit="1" customWidth="1"/>
    <col min="31" max="31" width="10.33203125" bestFit="1" customWidth="1"/>
    <col min="32" max="32" width="12.5546875" bestFit="1" customWidth="1"/>
    <col min="33" max="33" width="12.44140625" bestFit="1" customWidth="1"/>
    <col min="34" max="34" width="13.77734375" bestFit="1" customWidth="1"/>
    <col min="35" max="35" width="14.109375" bestFit="1" customWidth="1"/>
    <col min="36" max="36" width="14.44140625" bestFit="1" customWidth="1"/>
    <col min="37" max="37" width="14.5546875" bestFit="1" customWidth="1"/>
    <col min="38" max="38" width="16.33203125" bestFit="1" customWidth="1"/>
    <col min="39" max="39" width="8.44140625" bestFit="1" customWidth="1"/>
    <col min="40" max="40" width="11.6640625" bestFit="1" customWidth="1"/>
    <col min="41" max="41" width="13.44140625" bestFit="1" customWidth="1"/>
    <col min="42" max="42" width="11.44140625" bestFit="1" customWidth="1"/>
    <col min="43" max="43" width="14.44140625" bestFit="1" customWidth="1"/>
    <col min="44" max="44" width="15.109375" bestFit="1" customWidth="1"/>
    <col min="45" max="45" width="11.88671875" bestFit="1" customWidth="1"/>
    <col min="46" max="46" width="14" bestFit="1" customWidth="1"/>
    <col min="47" max="47" width="13.88671875" bestFit="1" customWidth="1"/>
    <col min="48" max="48" width="14.5546875" bestFit="1" customWidth="1"/>
    <col min="49" max="49" width="11.21875" bestFit="1" customWidth="1"/>
    <col min="50" max="50" width="12.88671875" bestFit="1" customWidth="1"/>
    <col min="51" max="51" width="10.5546875" bestFit="1" customWidth="1"/>
  </cols>
  <sheetData>
    <row r="1" spans="1:6">
      <c r="A1" t="s">
        <v>217</v>
      </c>
    </row>
    <row r="3" spans="1:6">
      <c r="A3" s="5" t="s">
        <v>214</v>
      </c>
      <c r="B3" t="s">
        <v>216</v>
      </c>
    </row>
    <row r="4" spans="1:6">
      <c r="A4" s="6" t="s">
        <v>63</v>
      </c>
      <c r="B4" s="10">
        <v>17</v>
      </c>
    </row>
    <row r="5" spans="1:6">
      <c r="A5" s="6" t="s">
        <v>29</v>
      </c>
      <c r="B5" s="10">
        <v>20</v>
      </c>
    </row>
    <row r="6" spans="1:6">
      <c r="A6" s="6" t="s">
        <v>111</v>
      </c>
      <c r="B6" s="10">
        <v>13</v>
      </c>
    </row>
    <row r="7" spans="1:6">
      <c r="A7" s="6" t="s">
        <v>215</v>
      </c>
      <c r="B7" s="10">
        <v>50</v>
      </c>
    </row>
    <row r="9" spans="1:6">
      <c r="A9" s="6" t="s">
        <v>63</v>
      </c>
      <c r="B9">
        <f>GETPIVOTDATA("Full Name",$A$3,"Employment Status",A9)</f>
        <v>17</v>
      </c>
    </row>
    <row r="10" spans="1:6">
      <c r="A10" s="6" t="s">
        <v>29</v>
      </c>
      <c r="B10">
        <f t="shared" ref="B10:B11" si="0">GETPIVOTDATA("Full Name",$A$3,"Employment Status",A10)</f>
        <v>20</v>
      </c>
    </row>
    <row r="11" spans="1:6">
      <c r="A11" s="6" t="s">
        <v>111</v>
      </c>
      <c r="B11">
        <f t="shared" si="0"/>
        <v>13</v>
      </c>
    </row>
    <row r="12" spans="1:6">
      <c r="A12" s="6" t="s">
        <v>218</v>
      </c>
      <c r="B12">
        <f>GETPIVOTDATA("Full Name",$A$3)</f>
        <v>50</v>
      </c>
    </row>
    <row r="14" spans="1:6">
      <c r="A14" s="6" t="s">
        <v>221</v>
      </c>
    </row>
    <row r="15" spans="1:6">
      <c r="A15" s="5" t="s">
        <v>214</v>
      </c>
      <c r="B15" t="s">
        <v>219</v>
      </c>
      <c r="C15" t="s">
        <v>225</v>
      </c>
    </row>
    <row r="16" spans="1:6">
      <c r="A16" s="6" t="s">
        <v>121</v>
      </c>
      <c r="B16" s="10">
        <v>167041</v>
      </c>
      <c r="C16" s="10">
        <v>28</v>
      </c>
      <c r="D16" s="6" t="s">
        <v>121</v>
      </c>
      <c r="E16">
        <f>GETPIVOTDATA("Salary",$A$15,"Job Title",A16)</f>
        <v>167041</v>
      </c>
      <c r="F16">
        <f>GETPIVOTDATA("Sum of Leave Taken",$A$15,"Job Title",D16)</f>
        <v>28</v>
      </c>
    </row>
    <row r="17" spans="1:11">
      <c r="A17" s="6" t="s">
        <v>40</v>
      </c>
      <c r="B17" s="10">
        <v>613842</v>
      </c>
      <c r="C17" s="10">
        <v>110</v>
      </c>
      <c r="D17" s="6" t="s">
        <v>40</v>
      </c>
      <c r="E17">
        <f t="shared" ref="E17:E20" si="1">GETPIVOTDATA("Salary",$A$15,"Job Title",A17)</f>
        <v>613842</v>
      </c>
      <c r="F17">
        <f t="shared" ref="F17:F20" si="2">GETPIVOTDATA("Sum of Leave Taken",$A$15,"Job Title",D17)</f>
        <v>110</v>
      </c>
    </row>
    <row r="18" spans="1:11">
      <c r="A18" s="6" t="s">
        <v>72</v>
      </c>
      <c r="B18" s="10">
        <v>633594</v>
      </c>
      <c r="C18" s="10">
        <v>104</v>
      </c>
      <c r="D18" s="6" t="s">
        <v>72</v>
      </c>
      <c r="E18">
        <f t="shared" si="1"/>
        <v>633594</v>
      </c>
      <c r="F18">
        <f t="shared" si="2"/>
        <v>104</v>
      </c>
    </row>
    <row r="19" spans="1:11">
      <c r="A19" s="6" t="s">
        <v>50</v>
      </c>
      <c r="B19" s="10">
        <v>959266</v>
      </c>
      <c r="C19" s="10">
        <v>123</v>
      </c>
      <c r="D19" s="6" t="s">
        <v>50</v>
      </c>
      <c r="E19">
        <f t="shared" si="1"/>
        <v>959266</v>
      </c>
      <c r="F19">
        <f t="shared" si="2"/>
        <v>123</v>
      </c>
    </row>
    <row r="20" spans="1:11">
      <c r="A20" s="6" t="s">
        <v>25</v>
      </c>
      <c r="B20" s="10">
        <v>731170</v>
      </c>
      <c r="C20" s="10">
        <v>122</v>
      </c>
      <c r="D20" s="6" t="s">
        <v>25</v>
      </c>
      <c r="E20">
        <f t="shared" si="1"/>
        <v>731170</v>
      </c>
      <c r="F20">
        <f t="shared" si="2"/>
        <v>122</v>
      </c>
    </row>
    <row r="21" spans="1:11">
      <c r="A21" s="6" t="s">
        <v>215</v>
      </c>
      <c r="B21" s="10">
        <v>3104913</v>
      </c>
      <c r="C21" s="10">
        <v>487</v>
      </c>
      <c r="D21" s="6" t="s">
        <v>220</v>
      </c>
      <c r="E21">
        <f>GETPIVOTDATA("Salary",$A$15)</f>
        <v>3104913</v>
      </c>
      <c r="F21">
        <f>GETPIVOTDATA("Sum of Leave Taken",$A$15)</f>
        <v>487</v>
      </c>
    </row>
    <row r="24" spans="1:11">
      <c r="A24" s="6" t="s">
        <v>223</v>
      </c>
    </row>
    <row r="26" spans="1:11">
      <c r="A26" s="5" t="s">
        <v>216</v>
      </c>
      <c r="B26" s="5" t="s">
        <v>222</v>
      </c>
    </row>
    <row r="27" spans="1:11">
      <c r="A27" s="5" t="s">
        <v>214</v>
      </c>
      <c r="B27" t="s">
        <v>22</v>
      </c>
      <c r="C27" t="s">
        <v>37</v>
      </c>
      <c r="D27" t="s">
        <v>215</v>
      </c>
    </row>
    <row r="28" spans="1:11">
      <c r="A28" s="6" t="s">
        <v>23</v>
      </c>
      <c r="B28" s="10">
        <v>6</v>
      </c>
      <c r="C28" s="10">
        <v>3</v>
      </c>
      <c r="D28" s="10">
        <v>9</v>
      </c>
      <c r="F28" s="6" t="s">
        <v>23</v>
      </c>
      <c r="G28">
        <f>GETPIVOTDATA("Full Name",$A$26,"Age range",F28)</f>
        <v>9</v>
      </c>
      <c r="H28" t="s">
        <v>37</v>
      </c>
      <c r="I28">
        <f>GETPIVOTDATA("Full Name",$A$26,"Gender","Female")</f>
        <v>26</v>
      </c>
      <c r="J28" s="7">
        <f t="shared" ref="J28" si="3">SUM(I28)/SUM($I$28:$I$29)</f>
        <v>0.52</v>
      </c>
      <c r="K28" s="8">
        <f>1-J28</f>
        <v>0.48</v>
      </c>
    </row>
    <row r="29" spans="1:11">
      <c r="A29" s="6" t="s">
        <v>38</v>
      </c>
      <c r="B29" s="10">
        <v>7</v>
      </c>
      <c r="C29" s="10">
        <v>6</v>
      </c>
      <c r="D29" s="10">
        <v>13</v>
      </c>
      <c r="F29" s="6" t="s">
        <v>38</v>
      </c>
      <c r="G29">
        <f t="shared" ref="G29:G32" si="4">GETPIVOTDATA("Full Name",$A$26,"Age range",F29)</f>
        <v>13</v>
      </c>
      <c r="H29" t="s">
        <v>22</v>
      </c>
      <c r="I29">
        <f>GETPIVOTDATA("Full Name",$A$26,"Gender","Male")</f>
        <v>24</v>
      </c>
      <c r="J29" s="7">
        <f>SUM(I29)/SUM($I$28:$I$29)</f>
        <v>0.48</v>
      </c>
      <c r="K29" s="8">
        <f>1-J29</f>
        <v>0.52</v>
      </c>
    </row>
    <row r="30" spans="1:11">
      <c r="A30" s="6" t="s">
        <v>59</v>
      </c>
      <c r="B30" s="10">
        <v>5</v>
      </c>
      <c r="C30" s="10">
        <v>7</v>
      </c>
      <c r="D30" s="10">
        <v>12</v>
      </c>
      <c r="F30" s="6" t="s">
        <v>59</v>
      </c>
      <c r="G30">
        <f t="shared" si="4"/>
        <v>12</v>
      </c>
    </row>
    <row r="31" spans="1:11">
      <c r="A31" s="6" t="s">
        <v>98</v>
      </c>
      <c r="B31" s="10">
        <v>4</v>
      </c>
      <c r="C31" s="10">
        <v>3</v>
      </c>
      <c r="D31" s="10">
        <v>7</v>
      </c>
      <c r="F31" s="6" t="s">
        <v>98</v>
      </c>
      <c r="G31">
        <f t="shared" si="4"/>
        <v>7</v>
      </c>
    </row>
    <row r="32" spans="1:11">
      <c r="A32" s="6" t="s">
        <v>68</v>
      </c>
      <c r="B32" s="10">
        <v>4</v>
      </c>
      <c r="C32" s="10">
        <v>5</v>
      </c>
      <c r="D32" s="10">
        <v>9</v>
      </c>
      <c r="F32" s="6" t="s">
        <v>68</v>
      </c>
      <c r="G32">
        <f t="shared" si="4"/>
        <v>9</v>
      </c>
    </row>
    <row r="33" spans="1:16">
      <c r="A33" s="6" t="s">
        <v>215</v>
      </c>
      <c r="B33" s="10">
        <v>26</v>
      </c>
      <c r="C33" s="10">
        <v>24</v>
      </c>
      <c r="D33" s="10">
        <v>50</v>
      </c>
      <c r="F33" s="6" t="s">
        <v>220</v>
      </c>
      <c r="G33">
        <f>GETPIVOTDATA("Full Name",$A$26)</f>
        <v>50</v>
      </c>
    </row>
    <row r="39" spans="1:16">
      <c r="A39" s="5" t="s">
        <v>214</v>
      </c>
      <c r="B39" t="s">
        <v>216</v>
      </c>
    </row>
    <row r="40" spans="1:16">
      <c r="A40" s="6" t="s">
        <v>44</v>
      </c>
      <c r="B40" s="10">
        <v>23</v>
      </c>
      <c r="D40" s="6" t="s">
        <v>44</v>
      </c>
      <c r="E40">
        <f>GETPIVOTDATA("Full Name",$A$39,"Work Location",D40)</f>
        <v>23</v>
      </c>
      <c r="F40" s="7">
        <f>SUM(E40)/SUM($E$40:$E$42)</f>
        <v>0.46</v>
      </c>
      <c r="G40" s="8">
        <f>1-F40</f>
        <v>0.54</v>
      </c>
    </row>
    <row r="41" spans="1:16">
      <c r="A41" s="6" t="s">
        <v>30</v>
      </c>
      <c r="B41" s="10">
        <v>8</v>
      </c>
      <c r="D41" s="6" t="s">
        <v>30</v>
      </c>
      <c r="E41">
        <f t="shared" ref="E41:E42" si="5">GETPIVOTDATA("Full Name",$A$39,"Work Location",D41)</f>
        <v>8</v>
      </c>
      <c r="F41" s="7">
        <f t="shared" ref="F41:F42" si="6">SUM(E41)/SUM($E$40:$E$42)</f>
        <v>0.16</v>
      </c>
      <c r="G41" s="8">
        <f t="shared" ref="G41" si="7">1-F41</f>
        <v>0.84</v>
      </c>
    </row>
    <row r="42" spans="1:16">
      <c r="A42" s="6" t="s">
        <v>54</v>
      </c>
      <c r="B42" s="10">
        <v>19</v>
      </c>
      <c r="D42" s="6" t="s">
        <v>54</v>
      </c>
      <c r="E42">
        <f t="shared" si="5"/>
        <v>19</v>
      </c>
      <c r="F42" s="7">
        <f t="shared" si="6"/>
        <v>0.38</v>
      </c>
      <c r="G42" s="8">
        <f>1-F42</f>
        <v>0.62</v>
      </c>
    </row>
    <row r="43" spans="1:16">
      <c r="A43" s="6" t="s">
        <v>215</v>
      </c>
      <c r="B43" s="10">
        <v>50</v>
      </c>
      <c r="D43" s="6" t="s">
        <v>220</v>
      </c>
    </row>
    <row r="46" spans="1:16">
      <c r="A46" s="6" t="s">
        <v>224</v>
      </c>
      <c r="G46" t="s">
        <v>226</v>
      </c>
    </row>
    <row r="47" spans="1:16">
      <c r="P47" t="s">
        <v>7</v>
      </c>
    </row>
    <row r="48" spans="1:16">
      <c r="A48" s="5" t="s">
        <v>214</v>
      </c>
      <c r="B48" t="s">
        <v>216</v>
      </c>
      <c r="G48" s="5" t="s">
        <v>214</v>
      </c>
      <c r="H48" t="s">
        <v>216</v>
      </c>
      <c r="J48" s="6" t="s">
        <v>39</v>
      </c>
      <c r="K48">
        <f>GETPIVOTDATA("Full Name",$G$48,"Region",J48)</f>
        <v>14</v>
      </c>
    </row>
    <row r="49" spans="1:19">
      <c r="A49" s="6" t="s">
        <v>75</v>
      </c>
      <c r="B49" s="10">
        <v>12</v>
      </c>
      <c r="D49" s="6" t="s">
        <v>75</v>
      </c>
      <c r="E49">
        <f>GETPIVOTDATA("Full Name",$A$48,"Skills",D49)</f>
        <v>12</v>
      </c>
      <c r="G49" s="6" t="s">
        <v>39</v>
      </c>
      <c r="H49" s="10">
        <v>14</v>
      </c>
      <c r="J49" s="6" t="s">
        <v>24</v>
      </c>
      <c r="K49">
        <f t="shared" ref="K49:K52" si="8">GETPIVOTDATA("Full Name",$G$48,"Region",J49)</f>
        <v>10</v>
      </c>
      <c r="P49" s="5" t="s">
        <v>214</v>
      </c>
      <c r="Q49" t="s">
        <v>227</v>
      </c>
      <c r="R49" s="6" t="s">
        <v>26</v>
      </c>
      <c r="S49" s="9">
        <f>GETPIVOTDATA("Performance Rating",$P$49,"Department",R49)</f>
        <v>2.5833333333333335</v>
      </c>
    </row>
    <row r="50" spans="1:19">
      <c r="A50" s="6" t="s">
        <v>34</v>
      </c>
      <c r="B50" s="10">
        <v>11</v>
      </c>
      <c r="D50" s="6" t="s">
        <v>34</v>
      </c>
      <c r="E50">
        <f t="shared" ref="E50:E53" si="9">GETPIVOTDATA("Full Name",$A$48,"Skills",D50)</f>
        <v>11</v>
      </c>
      <c r="G50" s="6" t="s">
        <v>24</v>
      </c>
      <c r="H50" s="10">
        <v>10</v>
      </c>
      <c r="J50" s="6" t="s">
        <v>102</v>
      </c>
      <c r="K50">
        <f t="shared" si="8"/>
        <v>7</v>
      </c>
      <c r="P50" s="6" t="s">
        <v>26</v>
      </c>
      <c r="Q50" s="9">
        <v>2.5833333333333335</v>
      </c>
      <c r="R50" s="6" t="s">
        <v>41</v>
      </c>
      <c r="S50" s="9">
        <f t="shared" ref="S50:S53" si="10">GETPIVOTDATA("Performance Rating",$P$49,"Department",R50)</f>
        <v>3.3</v>
      </c>
    </row>
    <row r="51" spans="1:19">
      <c r="A51" s="6" t="s">
        <v>96</v>
      </c>
      <c r="B51" s="10">
        <v>7</v>
      </c>
      <c r="D51" s="6" t="s">
        <v>96</v>
      </c>
      <c r="E51">
        <f t="shared" si="9"/>
        <v>7</v>
      </c>
      <c r="G51" s="6" t="s">
        <v>102</v>
      </c>
      <c r="H51" s="10">
        <v>7</v>
      </c>
      <c r="J51" s="6" t="s">
        <v>80</v>
      </c>
      <c r="K51">
        <f t="shared" si="8"/>
        <v>10</v>
      </c>
      <c r="P51" s="6" t="s">
        <v>41</v>
      </c>
      <c r="Q51" s="9">
        <v>3.3</v>
      </c>
      <c r="R51" s="6" t="s">
        <v>81</v>
      </c>
      <c r="S51" s="9">
        <f t="shared" si="10"/>
        <v>2.25</v>
      </c>
    </row>
    <row r="52" spans="1:19">
      <c r="A52" s="6" t="s">
        <v>56</v>
      </c>
      <c r="B52" s="10">
        <v>11</v>
      </c>
      <c r="D52" s="6" t="s">
        <v>56</v>
      </c>
      <c r="E52">
        <f t="shared" si="9"/>
        <v>11</v>
      </c>
      <c r="G52" s="6" t="s">
        <v>80</v>
      </c>
      <c r="H52" s="10">
        <v>10</v>
      </c>
      <c r="J52" s="6" t="s">
        <v>49</v>
      </c>
      <c r="K52">
        <f t="shared" si="8"/>
        <v>9</v>
      </c>
      <c r="P52" s="6" t="s">
        <v>81</v>
      </c>
      <c r="Q52" s="9">
        <v>2.25</v>
      </c>
      <c r="R52" s="6" t="s">
        <v>51</v>
      </c>
      <c r="S52" s="9">
        <f t="shared" si="10"/>
        <v>2.3636363636363638</v>
      </c>
    </row>
    <row r="53" spans="1:19">
      <c r="A53" s="6" t="s">
        <v>66</v>
      </c>
      <c r="B53" s="10">
        <v>9</v>
      </c>
      <c r="D53" s="6" t="s">
        <v>66</v>
      </c>
      <c r="E53">
        <f t="shared" si="9"/>
        <v>9</v>
      </c>
      <c r="G53" s="6" t="s">
        <v>49</v>
      </c>
      <c r="H53" s="10">
        <v>9</v>
      </c>
      <c r="J53" s="6" t="s">
        <v>220</v>
      </c>
      <c r="K53">
        <f>GETPIVOTDATA("Full Name",$G$48)</f>
        <v>50</v>
      </c>
      <c r="P53" s="6" t="s">
        <v>51</v>
      </c>
      <c r="Q53" s="9">
        <v>2.3636363636363638</v>
      </c>
      <c r="R53" s="6" t="s">
        <v>60</v>
      </c>
      <c r="S53" s="9">
        <f t="shared" si="10"/>
        <v>2.5555555555555554</v>
      </c>
    </row>
    <row r="54" spans="1:19">
      <c r="A54" s="6" t="s">
        <v>215</v>
      </c>
      <c r="B54" s="10">
        <v>50</v>
      </c>
      <c r="G54" s="6" t="s">
        <v>215</v>
      </c>
      <c r="H54" s="10">
        <v>50</v>
      </c>
      <c r="P54" s="6" t="s">
        <v>60</v>
      </c>
      <c r="Q54" s="9">
        <v>2.5555555555555554</v>
      </c>
      <c r="R54" s="6" t="s">
        <v>220</v>
      </c>
      <c r="S54" s="9">
        <f>AVERAGE(S49:S53)</f>
        <v>2.6105050505050502</v>
      </c>
    </row>
    <row r="55" spans="1:19">
      <c r="P55" s="6" t="s">
        <v>215</v>
      </c>
      <c r="Q55" s="10">
        <v>2.62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Clean Data</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NANDINI SATGHARE</cp:lastModifiedBy>
  <dcterms:created xsi:type="dcterms:W3CDTF">2024-12-11T17:14:33Z</dcterms:created>
  <dcterms:modified xsi:type="dcterms:W3CDTF">2025-12-25T15:04:59Z</dcterms:modified>
</cp:coreProperties>
</file>